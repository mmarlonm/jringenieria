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B:\RRHH\FORMATOS\"/>
    </mc:Choice>
  </mc:AlternateContent>
  <xr:revisionPtr revIDLastSave="0" documentId="13_ncr:1_{48D1347A-0110-4FE2-AC0C-679B3CB27F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Reporte de Gastos" sheetId="2" r:id="rId2"/>
  </sheets>
  <calcPr calcId="191029"/>
</workbook>
</file>

<file path=xl/calcChain.xml><?xml version="1.0" encoding="utf-8"?>
<calcChain xmlns="http://schemas.openxmlformats.org/spreadsheetml/2006/main">
  <c r="R4" i="2" l="1"/>
  <c r="R6" i="2" s="1"/>
  <c r="R5" i="2"/>
  <c r="N69" i="2"/>
  <c r="M69" i="2"/>
  <c r="L8" i="2"/>
  <c r="L7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O7" i="2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R7" i="2" l="1"/>
  <c r="R8" i="2"/>
</calcChain>
</file>

<file path=xl/sharedStrings.xml><?xml version="1.0" encoding="utf-8"?>
<sst xmlns="http://schemas.openxmlformats.org/spreadsheetml/2006/main" count="83" uniqueCount="77">
  <si>
    <t>JR INGENIERÍA ELECTRIC — GUÍA DE LLENADO Y MANUAL DE GASTOS</t>
  </si>
  <si>
    <t>SECCIÓN O PASO</t>
  </si>
  <si>
    <t>INSTRUCCIÓN DETALLADA PARA PERSONAL DE CAMPO Y SUCURSALES</t>
  </si>
  <si>
    <t>UBICACIÓN EN EL FORMATO</t>
  </si>
  <si>
    <t>1. Datos Generales</t>
  </si>
  <si>
    <t>Bloque Superior (Celdas B3 a F4)</t>
  </si>
  <si>
    <t>2. Fondo Asignado Inicial</t>
  </si>
  <si>
    <t>Ingrese el dinero en efectivo o caja chica con el que inició el periodo en la celda correspondiente del Resumen. Si no recibió fondo inicial, deje en 0.</t>
  </si>
  <si>
    <t>Cuadro Resumen (Celda M3)</t>
  </si>
  <si>
    <t>3. Registro Diario de Flujos</t>
  </si>
  <si>
    <t>Registre en orden cronológico cada movimiento. Use una fila por evento. Indique obligatoriamente el Tipo: 'INGRESO' (si la empresa le transfirió más viáticos) o 'GASTO' (si realizó un pago).</t>
  </si>
  <si>
    <t>Tabla Principal (Columnas A a J)</t>
  </si>
  <si>
    <t>4. Comprobación Fiscal</t>
  </si>
  <si>
    <t>En la columna 'Facturado' seleccione SÍ o NO. Si marca SÍ, capture el folio o clave UUID de la factura para validación de contabilidad.</t>
  </si>
  <si>
    <t>Columnas F y G</t>
  </si>
  <si>
    <t>5. Entradas y Salidas</t>
  </si>
  <si>
    <t>Si es un depósito recibido, anote la cantidad en la columna 'Ingreso'. Si es una compra, comida o material, anote en la columna 'Gasto'. El saldo de la fila se calculará automáticamente.</t>
  </si>
  <si>
    <t>Columnas H, I y J</t>
  </si>
  <si>
    <t>6. Interpretación de Saldos</t>
  </si>
  <si>
    <t>Revise las dos celdas de control dinámico inferiores del resumen:
• Si arroja MONTO A FAVOR DEL EMPLEADO (Fondo Naranja): Es el dinero que puso de su bolsa y la empresa debe reembolsarle o depositarle.
• Si arroja FONDO DISPONIBLE EN CAMPO (Fondo Verde): Es dinero que le sobró a la sucursal y tiene disponible.</t>
  </si>
  <si>
    <t>Cuadro Resumen (Celdas M7 y M8)</t>
  </si>
  <si>
    <t>7. Cierre y Validación</t>
  </si>
  <si>
    <t>Una vez completado el periodo, guarde, imprima o exporte a PDF, firme la sección inferior y envíelo a Administración junto con las facturas y tickets adjuntos.</t>
  </si>
  <si>
    <t>Sección de Firmas (Filas 64-65)</t>
  </si>
  <si>
    <t>Nombre del Colaborador:</t>
  </si>
  <si>
    <t>Puesto:</t>
  </si>
  <si>
    <t>Área / Sucursal:</t>
  </si>
  <si>
    <t>RESUMEN FINANCIERO CENTRAL</t>
  </si>
  <si>
    <t>Periodo del Reporte:</t>
  </si>
  <si>
    <t>Fecha de Envío:</t>
  </si>
  <si>
    <t>Fondo Inicial Asignado (Caja Chica)</t>
  </si>
  <si>
    <t>Total Ingresos (+) (Depósitos Empresa)</t>
  </si>
  <si>
    <t>Total Gastos Comprobados (-)</t>
  </si>
  <si>
    <t>Fecha</t>
  </si>
  <si>
    <t>Tipo de Flujo
(Ingreso / Gasto)</t>
  </si>
  <si>
    <t>Concepto / Descripción del Gasto</t>
  </si>
  <si>
    <t>Forma de Pago</t>
  </si>
  <si>
    <t>¿Facturado?
(SÍ / NO)</t>
  </si>
  <si>
    <t>Ingreso (+)
[Depósitos]</t>
  </si>
  <si>
    <t>Gasto (-)
[Compras/Viáticos]</t>
  </si>
  <si>
    <t>Saldo Líquido
[Fórmula]</t>
  </si>
  <si>
    <t>Saldo Neto Final del Periodo</t>
  </si>
  <si>
    <t>MONTO A FAVOR DEL EMPLEADO (Reembolso) 🟠</t>
  </si>
  <si>
    <t>FONDO DISPONIBLE EN CAMPO (Empresa) 🟢</t>
  </si>
  <si>
    <t>TOTALES ACUMULADOS DEL PERIODO:</t>
  </si>
  <si>
    <t>_______________________________</t>
  </si>
  <si>
    <t>Elaboró (Responsable en Campo)</t>
  </si>
  <si>
    <t>Revisó (Administración / Sucursal)</t>
  </si>
  <si>
    <t>Autorizó (Dirección General)</t>
  </si>
  <si>
    <t>Proyecto</t>
  </si>
  <si>
    <t>No. de reporte:</t>
  </si>
  <si>
    <t>MONTO SUGERIDO DE RESPOSICIÓN DE GASTO</t>
  </si>
  <si>
    <t>Folio / UUID Factura/ no. de nota</t>
  </si>
  <si>
    <t>Antes de registrar movimientos, capture obligatoriamente: Nombre, Puesto, Sucursal, el Proyecto específico  y el Periodo del reporte.</t>
  </si>
  <si>
    <t>Juan Cepillo Cabello</t>
  </si>
  <si>
    <t xml:space="preserve">los peines electricos </t>
  </si>
  <si>
    <t xml:space="preserve">Supervisor de obra </t>
  </si>
  <si>
    <t>Pachuca</t>
  </si>
  <si>
    <t>del 15-20 de junio del 2026</t>
  </si>
  <si>
    <t>ingreso</t>
  </si>
  <si>
    <t>los peines electricos</t>
  </si>
  <si>
    <t>transferencia</t>
  </si>
  <si>
    <t>no</t>
  </si>
  <si>
    <t>n/a</t>
  </si>
  <si>
    <t>gasto</t>
  </si>
  <si>
    <t>efectivo</t>
  </si>
  <si>
    <t>No. de integrantes del equipo</t>
  </si>
  <si>
    <t>Alimentos</t>
  </si>
  <si>
    <t>Lugar/proveedor</t>
  </si>
  <si>
    <t>JR INGENIERÍA ELECTRICA — REPORTE DE GASTOS Y SOLICITUD DE REEMBOLSOS</t>
  </si>
  <si>
    <t>No. de integrantes</t>
  </si>
  <si>
    <t>Nombre de participantes</t>
  </si>
  <si>
    <t>Monto individual</t>
  </si>
  <si>
    <t>fondita equis</t>
  </si>
  <si>
    <t>colocar el nombre de las personas para las que se consideraron estos gastos, ejemplo: Yadira, Reyna, Ana,Laura</t>
  </si>
  <si>
    <t xml:space="preserve">adicional de caja chica </t>
  </si>
  <si>
    <t>Proyecto /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</si>
</sst>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97D"/>
      <name val="Calibri"/>
    </font>
    <font>
      <b/>
      <sz val="11"/>
      <name val="Calibri"/>
    </font>
    <font>
      <sz val="11"/>
      <name val="Calibri"/>
    </font>
    <font>
      <i/>
      <sz val="9"/>
      <color rgb="FF595959"/>
      <name val="Calibri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186391"/>
        <bgColor rgb="FF1F497D"/>
      </patternFill>
    </fill>
    <fill>
      <patternFill patternType="solid">
        <fgColor rgb="FF186391"/>
        <bgColor indexed="64"/>
      </patternFill>
    </fill>
    <fill>
      <patternFill patternType="solid">
        <fgColor rgb="FF186391"/>
        <bgColor rgb="FFDCE6F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164" fontId="7" fillId="0" borderId="1" xfId="0" applyNumberFormat="1" applyFont="1" applyBorder="1" applyAlignment="1">
      <alignment horizontal="right" vertical="center"/>
    </xf>
    <xf numFmtId="0" fontId="8" fillId="8" borderId="7" xfId="0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right" vertical="center"/>
    </xf>
    <xf numFmtId="164" fontId="10" fillId="7" borderId="5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10" fillId="4" borderId="5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164" fontId="10" fillId="4" borderId="10" xfId="0" applyNumberFormat="1" applyFont="1" applyFill="1" applyBorder="1" applyAlignment="1">
      <alignment horizontal="right" vertical="center"/>
    </xf>
    <xf numFmtId="164" fontId="10" fillId="4" borderId="11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64" fontId="7" fillId="3" borderId="3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14" fontId="10" fillId="7" borderId="4" xfId="0" applyNumberFormat="1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4" fontId="10" fillId="4" borderId="4" xfId="0" applyNumberFormat="1" applyFont="1" applyFill="1" applyBorder="1" applyAlignment="1">
      <alignment horizontal="center" vertical="center"/>
    </xf>
    <xf numFmtId="14" fontId="10" fillId="4" borderId="9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1" fillId="11" borderId="0" xfId="0" applyFont="1" applyFill="1" applyAlignment="1"/>
    <xf numFmtId="0" fontId="7" fillId="9" borderId="0" xfId="0" applyFont="1" applyFill="1" applyAlignment="1"/>
    <xf numFmtId="0" fontId="7" fillId="0" borderId="0" xfId="0" applyFont="1" applyAlignment="1"/>
    <xf numFmtId="0" fontId="7" fillId="4" borderId="2" xfId="0" applyFont="1" applyFill="1" applyBorder="1" applyAlignment="1"/>
    <xf numFmtId="14" fontId="7" fillId="4" borderId="2" xfId="0" applyNumberFormat="1" applyFont="1" applyFill="1" applyBorder="1" applyAlignment="1"/>
    <xf numFmtId="0" fontId="10" fillId="0" borderId="1" xfId="0" applyFont="1" applyBorder="1" applyAlignment="1">
      <alignment vertical="center"/>
    </xf>
    <xf numFmtId="14" fontId="11" fillId="0" borderId="0" xfId="0" applyNumberFormat="1" applyFont="1" applyAlignment="1"/>
    <xf numFmtId="14" fontId="7" fillId="0" borderId="0" xfId="0" applyNumberFormat="1" applyFont="1" applyAlignment="1"/>
    <xf numFmtId="14" fontId="8" fillId="8" borderId="6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center"/>
    </xf>
    <xf numFmtId="0" fontId="7" fillId="11" borderId="0" xfId="0" applyFont="1" applyFill="1" applyAlignment="1"/>
    <xf numFmtId="14" fontId="7" fillId="0" borderId="3" xfId="0" applyNumberFormat="1" applyFont="1" applyBorder="1" applyAlignment="1"/>
    <xf numFmtId="0" fontId="7" fillId="0" borderId="3" xfId="0" applyFont="1" applyBorder="1" applyAlignment="1"/>
    <xf numFmtId="0" fontId="6" fillId="0" borderId="1" xfId="0" applyFont="1" applyBorder="1" applyAlignment="1">
      <alignment vertical="center" wrapText="1"/>
    </xf>
    <xf numFmtId="164" fontId="10" fillId="12" borderId="1" xfId="0" applyNumberFormat="1" applyFont="1" applyFill="1" applyBorder="1" applyAlignment="1">
      <alignment horizontal="right" vertical="center"/>
    </xf>
    <xf numFmtId="0" fontId="10" fillId="1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7" fillId="0" borderId="0" xfId="0" applyFont="1" applyAlignment="1"/>
    <xf numFmtId="0" fontId="8" fillId="8" borderId="0" xfId="0" applyFont="1" applyFill="1" applyAlignment="1">
      <alignment horizontal="center" vertical="center"/>
    </xf>
    <xf numFmtId="0" fontId="7" fillId="9" borderId="0" xfId="0" applyFont="1" applyFill="1" applyAlignme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97D"/>
          <bgColor rgb="FF18639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colors>
    <mruColors>
      <color rgb="FF186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941796</xdr:colOff>
      <xdr:row>1</xdr:row>
      <xdr:rowOff>6313</xdr:rowOff>
    </xdr:from>
    <xdr:to>
      <xdr:col>11</xdr:col>
      <xdr:colOff>479456</xdr:colOff>
      <xdr:row>4</xdr:row>
      <xdr:rowOff>318833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927BA5-3A39-48FE-9D4D-36C6D01F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2448" y="511459"/>
          <a:ext cx="1678109" cy="12371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3F053-AA2B-47C9-AE39-B93267A58C1E}" name="reporte_gastos" displayName="reporte_gastos" ref="B6:O68" totalsRowShown="0" headerRowDxfId="18" dataDxfId="16" headerRowBorderDxfId="17" tableBorderDxfId="15" totalsRowBorderDxfId="14">
  <autoFilter ref="B6:O68" xr:uid="{D8D3F053-AA2B-47C9-AE39-B93267A58C1E}"/>
  <tableColumns count="14">
    <tableColumn id="1" xr3:uid="{18B77D4E-7A81-47B5-8C95-6115318D27A5}" name="Fecha" dataDxfId="13"/>
    <tableColumn id="2" xr3:uid="{051C855F-33ED-414B-8B09-CBF894425EC1}" name="Tipo de Flujo_x000a_(Ingreso / Gasto)" dataDxfId="12"/>
    <tableColumn id="3" xr3:uid="{AEB70F4F-C5A1-4749-8B69-644FF07BB356}" name="Concepto / Descripción del Gasto" dataDxfId="11"/>
    <tableColumn id="11" xr3:uid="{17C17866-DDC3-457D-8C2D-6A886CB1AD42}" name="Lugar/proveedor" dataDxfId="10"/>
    <tableColumn id="12" xr3:uid="{87E7EF33-CC65-4093-A39F-C7DC2ED3CE7B}" name="No. de integrantes" dataDxfId="9"/>
    <tableColumn id="13" xr3:uid="{E56DC4C4-86A6-4388-826A-3216CB01756D}" name="Nombre de participantes" dataDxfId="8"/>
    <tableColumn id="4" xr3:uid="{D1883EDB-5836-43F2-A76A-4EC80E7DA218}" name="Proyecto / sucursal" dataDxfId="7"/>
    <tableColumn id="5" xr3:uid="{969EE695-C538-401C-88E3-1A9E7A8002A1}" name="Forma de Pago" dataDxfId="6"/>
    <tableColumn id="6" xr3:uid="{B357515D-0E11-43C3-97F2-891B9072C769}" name="¿Facturado?_x000a_(SÍ / NO)" dataDxfId="5"/>
    <tableColumn id="7" xr3:uid="{59FD3AD9-4D75-42E6-8A04-B4813AEB0FCE}" name="Folio / UUID Factura/ no. de nota" dataDxfId="4"/>
    <tableColumn id="14" xr3:uid="{857B6BE3-F1B4-43E1-997F-DB3146723853}" name="Monto individual" dataDxfId="3">
      <calculatedColumnFormula>reporte_gastos[[#This Row],[Gasto (-)
'[Compras/Viáticos']]]/reporte_gastos[[#This Row],[No. de integrantes]]</calculatedColumnFormula>
    </tableColumn>
    <tableColumn id="8" xr3:uid="{D9E0F39E-44B3-4002-AF94-7C9EC78CE126}" name="Ingreso (+)_x000a_[Depósitos]" dataDxfId="2"/>
    <tableColumn id="9" xr3:uid="{58ECBE1F-4CEA-47C8-BC05-60410F91072D}" name="Gasto (-)_x000a_[Compras/Viáticos]" dataDxfId="1"/>
    <tableColumn id="10" xr3:uid="{733ED0FF-B83E-4B9D-80BB-8D6F122919DD}" name="Saldo Líquido_x000a_[Fórmula]" dataDxfId="0">
      <calculatedColumnFormula>O6+M7-N7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5" sqref="B5"/>
    </sheetView>
  </sheetViews>
  <sheetFormatPr baseColWidth="10" defaultColWidth="8.88671875" defaultRowHeight="14.4"/>
  <cols>
    <col min="1" max="1" width="25" customWidth="1"/>
    <col min="2" max="2" width="75" customWidth="1"/>
    <col min="3" max="3" width="30" customWidth="1"/>
  </cols>
  <sheetData>
    <row r="1" spans="1:3" ht="40.049999999999997" customHeight="1">
      <c r="A1" s="52" t="s">
        <v>0</v>
      </c>
      <c r="B1" s="53"/>
      <c r="C1" s="53"/>
    </row>
    <row r="3" spans="1:3" ht="25.05" customHeight="1">
      <c r="A3" s="1" t="s">
        <v>1</v>
      </c>
      <c r="B3" s="2" t="s">
        <v>2</v>
      </c>
      <c r="C3" s="1" t="s">
        <v>3</v>
      </c>
    </row>
    <row r="4" spans="1:3" ht="25.95" customHeight="1">
      <c r="A4" s="3" t="s">
        <v>4</v>
      </c>
      <c r="B4" s="4" t="s">
        <v>53</v>
      </c>
      <c r="C4" s="5" t="s">
        <v>5</v>
      </c>
    </row>
    <row r="5" spans="1:3" ht="25.95" customHeight="1">
      <c r="A5" s="3" t="s">
        <v>6</v>
      </c>
      <c r="B5" s="49" t="s">
        <v>7</v>
      </c>
      <c r="C5" s="5" t="s">
        <v>8</v>
      </c>
    </row>
    <row r="6" spans="1:3" ht="25.95" customHeight="1">
      <c r="A6" s="3" t="s">
        <v>9</v>
      </c>
      <c r="B6" s="4" t="s">
        <v>10</v>
      </c>
      <c r="C6" s="5" t="s">
        <v>11</v>
      </c>
    </row>
    <row r="7" spans="1:3" ht="25.95" customHeight="1">
      <c r="A7" s="3" t="s">
        <v>12</v>
      </c>
      <c r="B7" s="4" t="s">
        <v>13</v>
      </c>
      <c r="C7" s="5" t="s">
        <v>14</v>
      </c>
    </row>
    <row r="8" spans="1:3" ht="25.95" customHeight="1">
      <c r="A8" s="3" t="s">
        <v>15</v>
      </c>
      <c r="B8" s="4" t="s">
        <v>16</v>
      </c>
      <c r="C8" s="5" t="s">
        <v>17</v>
      </c>
    </row>
    <row r="9" spans="1:3" ht="42" customHeight="1">
      <c r="A9" s="3" t="s">
        <v>18</v>
      </c>
      <c r="B9" s="4" t="s">
        <v>19</v>
      </c>
      <c r="C9" s="5" t="s">
        <v>20</v>
      </c>
    </row>
    <row r="10" spans="1:3" ht="25.95" customHeight="1">
      <c r="A10" s="3" t="s">
        <v>21</v>
      </c>
      <c r="B10" s="4" t="s">
        <v>22</v>
      </c>
      <c r="C10" s="5" t="s">
        <v>23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3"/>
  <sheetViews>
    <sheetView tabSelected="1" zoomScale="89" workbookViewId="0">
      <selection activeCell="Q7" sqref="Q7"/>
    </sheetView>
  </sheetViews>
  <sheetFormatPr baseColWidth="10" defaultColWidth="8.88671875" defaultRowHeight="13.2"/>
  <cols>
    <col min="1" max="1" width="8.88671875" style="36"/>
    <col min="2" max="2" width="14" style="41" customWidth="1"/>
    <col min="3" max="3" width="22" style="36" customWidth="1"/>
    <col min="4" max="4" width="38" style="36" customWidth="1"/>
    <col min="5" max="7" width="22.21875" style="36" customWidth="1"/>
    <col min="8" max="8" width="25" style="36" customWidth="1"/>
    <col min="9" max="9" width="18" style="36" customWidth="1"/>
    <col min="10" max="10" width="14" style="36" customWidth="1"/>
    <col min="11" max="12" width="31.21875" style="36" customWidth="1"/>
    <col min="13" max="14" width="16" style="36" customWidth="1"/>
    <col min="15" max="15" width="18" style="36" customWidth="1"/>
    <col min="16" max="16" width="4" style="36" customWidth="1"/>
    <col min="17" max="17" width="42" style="36" customWidth="1"/>
    <col min="18" max="18" width="20" style="36" customWidth="1"/>
    <col min="19" max="16384" width="8.88671875" style="36"/>
  </cols>
  <sheetData>
    <row r="1" spans="1:18" ht="40.049999999999997" customHeight="1">
      <c r="A1" s="35"/>
      <c r="B1" s="56" t="s">
        <v>69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8" ht="22.05" customHeight="1">
      <c r="B2" s="29" t="s">
        <v>24</v>
      </c>
      <c r="C2" s="37" t="s">
        <v>54</v>
      </c>
      <c r="D2" s="6" t="s">
        <v>25</v>
      </c>
      <c r="E2" s="6"/>
      <c r="F2" s="6"/>
      <c r="G2" s="6"/>
      <c r="H2" s="37" t="s">
        <v>56</v>
      </c>
      <c r="I2" s="6" t="s">
        <v>26</v>
      </c>
      <c r="J2" s="37" t="s">
        <v>57</v>
      </c>
      <c r="K2" s="58"/>
      <c r="L2" s="58"/>
      <c r="M2" s="58"/>
      <c r="Q2" s="54" t="s">
        <v>27</v>
      </c>
      <c r="R2" s="55"/>
    </row>
    <row r="3" spans="1:18" ht="25.95" customHeight="1">
      <c r="B3" s="29" t="s">
        <v>49</v>
      </c>
      <c r="C3" s="37" t="s">
        <v>55</v>
      </c>
      <c r="D3" s="6" t="s">
        <v>28</v>
      </c>
      <c r="E3" s="6"/>
      <c r="F3" s="6"/>
      <c r="G3" s="6"/>
      <c r="H3" s="37" t="s">
        <v>58</v>
      </c>
      <c r="I3" s="6" t="s">
        <v>29</v>
      </c>
      <c r="J3" s="38">
        <v>46193</v>
      </c>
      <c r="K3" s="58"/>
      <c r="L3" s="58"/>
      <c r="M3" s="58"/>
      <c r="Q3" s="51" t="s">
        <v>30</v>
      </c>
      <c r="R3" s="50">
        <v>500</v>
      </c>
    </row>
    <row r="4" spans="1:18" ht="25.95" customHeight="1">
      <c r="B4" s="40" t="s">
        <v>66</v>
      </c>
      <c r="D4" s="7" t="s">
        <v>50</v>
      </c>
      <c r="E4" s="7"/>
      <c r="F4" s="7"/>
      <c r="G4" s="7"/>
      <c r="H4" s="37">
        <v>1</v>
      </c>
      <c r="K4" s="58"/>
      <c r="L4" s="58"/>
      <c r="M4" s="58"/>
      <c r="Q4" s="39" t="s">
        <v>31</v>
      </c>
      <c r="R4" s="8">
        <f>SUM(M7:M68)</f>
        <v>200</v>
      </c>
    </row>
    <row r="5" spans="1:18" ht="25.95" customHeight="1">
      <c r="K5" s="58"/>
      <c r="L5" s="58"/>
      <c r="M5" s="58"/>
      <c r="Q5" s="39" t="s">
        <v>32</v>
      </c>
      <c r="R5" s="8">
        <f>SUM(N7:N68)</f>
        <v>600</v>
      </c>
    </row>
    <row r="6" spans="1:18" s="35" customFormat="1" ht="57.6" customHeight="1">
      <c r="B6" s="42" t="s">
        <v>33</v>
      </c>
      <c r="C6" s="43" t="s">
        <v>34</v>
      </c>
      <c r="D6" s="43" t="s">
        <v>35</v>
      </c>
      <c r="E6" s="43" t="s">
        <v>68</v>
      </c>
      <c r="F6" s="43" t="s">
        <v>70</v>
      </c>
      <c r="G6" s="43" t="s">
        <v>71</v>
      </c>
      <c r="H6" s="43" t="s">
        <v>76</v>
      </c>
      <c r="I6" s="43" t="s">
        <v>36</v>
      </c>
      <c r="J6" s="9" t="s">
        <v>37</v>
      </c>
      <c r="K6" s="43" t="s">
        <v>52</v>
      </c>
      <c r="L6" s="43" t="s">
        <v>72</v>
      </c>
      <c r="M6" s="9" t="s">
        <v>38</v>
      </c>
      <c r="N6" s="9" t="s">
        <v>39</v>
      </c>
      <c r="O6" s="44" t="s">
        <v>40</v>
      </c>
      <c r="Q6" s="45" t="s">
        <v>41</v>
      </c>
      <c r="R6" s="10">
        <f>R3+R4-R5</f>
        <v>100</v>
      </c>
    </row>
    <row r="7" spans="1:18" ht="19.95" customHeight="1">
      <c r="B7" s="28">
        <v>46190</v>
      </c>
      <c r="C7" s="11" t="s">
        <v>59</v>
      </c>
      <c r="D7" s="12" t="s">
        <v>75</v>
      </c>
      <c r="E7" s="12" t="s">
        <v>63</v>
      </c>
      <c r="F7" s="12">
        <v>4</v>
      </c>
      <c r="G7" s="12" t="s">
        <v>63</v>
      </c>
      <c r="H7" s="12" t="s">
        <v>60</v>
      </c>
      <c r="I7" s="11" t="s">
        <v>61</v>
      </c>
      <c r="J7" s="11" t="s">
        <v>62</v>
      </c>
      <c r="K7" s="11" t="s">
        <v>63</v>
      </c>
      <c r="L7" s="11">
        <f>reporte_gastos[[#This Row],[Gasto (-)
'[Compras/Viáticos']]]/reporte_gastos[[#This Row],[No. de integrantes]]</f>
        <v>0</v>
      </c>
      <c r="M7" s="13">
        <v>200</v>
      </c>
      <c r="N7" s="13">
        <v>0</v>
      </c>
      <c r="O7" s="14">
        <f>R3+M7-N7</f>
        <v>700</v>
      </c>
      <c r="Q7" s="32" t="s">
        <v>42</v>
      </c>
      <c r="R7" s="15">
        <f>IF(R6&lt;0, ABS(R6), 0)</f>
        <v>0</v>
      </c>
    </row>
    <row r="8" spans="1:18" ht="19.95" customHeight="1">
      <c r="B8" s="30">
        <v>46190</v>
      </c>
      <c r="C8" s="16" t="s">
        <v>64</v>
      </c>
      <c r="D8" s="17" t="s">
        <v>67</v>
      </c>
      <c r="E8" s="17" t="s">
        <v>73</v>
      </c>
      <c r="F8" s="17">
        <v>4</v>
      </c>
      <c r="G8" s="17" t="s">
        <v>74</v>
      </c>
      <c r="H8" s="17" t="s">
        <v>60</v>
      </c>
      <c r="I8" s="16" t="s">
        <v>65</v>
      </c>
      <c r="J8" s="16" t="s">
        <v>62</v>
      </c>
      <c r="K8" s="16">
        <v>1</v>
      </c>
      <c r="L8" s="16">
        <f>reporte_gastos[[#This Row],[Gasto (-)
'[Compras/Viáticos']]]/reporte_gastos[[#This Row],[No. de integrantes]]</f>
        <v>150</v>
      </c>
      <c r="M8" s="18">
        <v>0</v>
      </c>
      <c r="N8" s="18">
        <v>600</v>
      </c>
      <c r="O8" s="19">
        <f t="shared" ref="O8:O39" si="0">O7+M8-N8</f>
        <v>100</v>
      </c>
      <c r="Q8" s="33" t="s">
        <v>43</v>
      </c>
      <c r="R8" s="20">
        <f>IF(R6&gt;=0, R6, 0)</f>
        <v>100</v>
      </c>
    </row>
    <row r="9" spans="1:18" ht="19.95" customHeight="1">
      <c r="B9" s="28"/>
      <c r="C9" s="11"/>
      <c r="D9" s="12"/>
      <c r="E9" s="12"/>
      <c r="F9" s="12"/>
      <c r="G9" s="12"/>
      <c r="H9" s="12"/>
      <c r="I9" s="11"/>
      <c r="J9" s="11"/>
      <c r="K9" s="11"/>
      <c r="L9" s="11" t="e">
        <f>reporte_gastos[[#This Row],[Gasto (-)
'[Compras/Viáticos']]]/reporte_gastos[[#This Row],[No. de integrantes]]</f>
        <v>#DIV/0!</v>
      </c>
      <c r="M9" s="13"/>
      <c r="N9" s="13"/>
      <c r="O9" s="14">
        <f t="shared" si="0"/>
        <v>100</v>
      </c>
      <c r="Q9" s="34" t="s">
        <v>51</v>
      </c>
      <c r="R9" s="46"/>
    </row>
    <row r="10" spans="1:18" ht="19.95" customHeight="1">
      <c r="B10" s="30"/>
      <c r="C10" s="16"/>
      <c r="D10" s="17"/>
      <c r="E10" s="17"/>
      <c r="F10" s="17"/>
      <c r="G10" s="17"/>
      <c r="H10" s="17"/>
      <c r="I10" s="16"/>
      <c r="J10" s="16"/>
      <c r="K10" s="16"/>
      <c r="L10" s="16" t="e">
        <f>reporte_gastos[[#This Row],[Gasto (-)
'[Compras/Viáticos']]]/reporte_gastos[[#This Row],[No. de integrantes]]</f>
        <v>#DIV/0!</v>
      </c>
      <c r="M10" s="18"/>
      <c r="N10" s="18"/>
      <c r="O10" s="19">
        <f t="shared" si="0"/>
        <v>100</v>
      </c>
    </row>
    <row r="11" spans="1:18" ht="19.95" customHeight="1">
      <c r="B11" s="28"/>
      <c r="C11" s="11"/>
      <c r="D11" s="12"/>
      <c r="E11" s="12"/>
      <c r="F11" s="12"/>
      <c r="G11" s="12"/>
      <c r="H11" s="12"/>
      <c r="I11" s="11"/>
      <c r="J11" s="11"/>
      <c r="K11" s="11"/>
      <c r="L11" s="11" t="e">
        <f>reporte_gastos[[#This Row],[Gasto (-)
'[Compras/Viáticos']]]/reporte_gastos[[#This Row],[No. de integrantes]]</f>
        <v>#DIV/0!</v>
      </c>
      <c r="M11" s="13"/>
      <c r="N11" s="13"/>
      <c r="O11" s="14">
        <f t="shared" si="0"/>
        <v>100</v>
      </c>
    </row>
    <row r="12" spans="1:18" ht="19.95" customHeight="1">
      <c r="B12" s="30"/>
      <c r="C12" s="16"/>
      <c r="D12" s="17"/>
      <c r="E12" s="17"/>
      <c r="F12" s="17"/>
      <c r="G12" s="17"/>
      <c r="H12" s="17"/>
      <c r="I12" s="16"/>
      <c r="J12" s="16"/>
      <c r="K12" s="16"/>
      <c r="L12" s="16" t="e">
        <f>reporte_gastos[[#This Row],[Gasto (-)
'[Compras/Viáticos']]]/reporte_gastos[[#This Row],[No. de integrantes]]</f>
        <v>#DIV/0!</v>
      </c>
      <c r="M12" s="18"/>
      <c r="N12" s="18"/>
      <c r="O12" s="19">
        <f t="shared" si="0"/>
        <v>100</v>
      </c>
    </row>
    <row r="13" spans="1:18" ht="19.95" customHeight="1">
      <c r="B13" s="28"/>
      <c r="C13" s="11"/>
      <c r="D13" s="12"/>
      <c r="E13" s="12"/>
      <c r="F13" s="12"/>
      <c r="G13" s="12"/>
      <c r="H13" s="12"/>
      <c r="I13" s="11"/>
      <c r="J13" s="11"/>
      <c r="K13" s="11"/>
      <c r="L13" s="11" t="e">
        <f>reporte_gastos[[#This Row],[Gasto (-)
'[Compras/Viáticos']]]/reporte_gastos[[#This Row],[No. de integrantes]]</f>
        <v>#DIV/0!</v>
      </c>
      <c r="M13" s="13"/>
      <c r="N13" s="13"/>
      <c r="O13" s="14">
        <f t="shared" si="0"/>
        <v>100</v>
      </c>
    </row>
    <row r="14" spans="1:18" ht="19.95" customHeight="1">
      <c r="B14" s="30"/>
      <c r="C14" s="16"/>
      <c r="D14" s="17"/>
      <c r="E14" s="17"/>
      <c r="F14" s="17"/>
      <c r="G14" s="17"/>
      <c r="H14" s="17"/>
      <c r="I14" s="16"/>
      <c r="J14" s="16"/>
      <c r="K14" s="16"/>
      <c r="L14" s="16" t="e">
        <f>reporte_gastos[[#This Row],[Gasto (-)
'[Compras/Viáticos']]]/reporte_gastos[[#This Row],[No. de integrantes]]</f>
        <v>#DIV/0!</v>
      </c>
      <c r="M14" s="18"/>
      <c r="N14" s="18"/>
      <c r="O14" s="19">
        <f t="shared" si="0"/>
        <v>100</v>
      </c>
    </row>
    <row r="15" spans="1:18" ht="19.95" customHeight="1">
      <c r="B15" s="28"/>
      <c r="C15" s="11"/>
      <c r="D15" s="12"/>
      <c r="E15" s="12"/>
      <c r="F15" s="12"/>
      <c r="G15" s="12"/>
      <c r="H15" s="12"/>
      <c r="I15" s="11"/>
      <c r="J15" s="11"/>
      <c r="K15" s="11"/>
      <c r="L15" s="11" t="e">
        <f>reporte_gastos[[#This Row],[Gasto (-)
'[Compras/Viáticos']]]/reporte_gastos[[#This Row],[No. de integrantes]]</f>
        <v>#DIV/0!</v>
      </c>
      <c r="M15" s="13"/>
      <c r="N15" s="13"/>
      <c r="O15" s="14">
        <f t="shared" si="0"/>
        <v>100</v>
      </c>
    </row>
    <row r="16" spans="1:18" ht="19.95" customHeight="1">
      <c r="B16" s="30"/>
      <c r="C16" s="16"/>
      <c r="D16" s="17"/>
      <c r="E16" s="17"/>
      <c r="F16" s="17"/>
      <c r="G16" s="17"/>
      <c r="H16" s="17"/>
      <c r="I16" s="16"/>
      <c r="J16" s="16"/>
      <c r="K16" s="16"/>
      <c r="L16" s="16" t="e">
        <f>reporte_gastos[[#This Row],[Gasto (-)
'[Compras/Viáticos']]]/reporte_gastos[[#This Row],[No. de integrantes]]</f>
        <v>#DIV/0!</v>
      </c>
      <c r="M16" s="18"/>
      <c r="N16" s="18"/>
      <c r="O16" s="19">
        <f t="shared" si="0"/>
        <v>100</v>
      </c>
    </row>
    <row r="17" spans="2:15" ht="19.95" customHeight="1">
      <c r="B17" s="28"/>
      <c r="C17" s="11"/>
      <c r="D17" s="12"/>
      <c r="E17" s="12"/>
      <c r="F17" s="12"/>
      <c r="G17" s="12"/>
      <c r="H17" s="12"/>
      <c r="I17" s="11"/>
      <c r="J17" s="11"/>
      <c r="K17" s="11"/>
      <c r="L17" s="11" t="e">
        <f>reporte_gastos[[#This Row],[Gasto (-)
'[Compras/Viáticos']]]/reporte_gastos[[#This Row],[No. de integrantes]]</f>
        <v>#DIV/0!</v>
      </c>
      <c r="M17" s="13"/>
      <c r="N17" s="13"/>
      <c r="O17" s="14">
        <f t="shared" si="0"/>
        <v>100</v>
      </c>
    </row>
    <row r="18" spans="2:15" ht="19.95" customHeight="1">
      <c r="B18" s="30"/>
      <c r="C18" s="16"/>
      <c r="D18" s="17"/>
      <c r="E18" s="17"/>
      <c r="F18" s="17"/>
      <c r="G18" s="17"/>
      <c r="H18" s="17"/>
      <c r="I18" s="16"/>
      <c r="J18" s="16"/>
      <c r="K18" s="16"/>
      <c r="L18" s="16" t="e">
        <f>reporte_gastos[[#This Row],[Gasto (-)
'[Compras/Viáticos']]]/reporte_gastos[[#This Row],[No. de integrantes]]</f>
        <v>#DIV/0!</v>
      </c>
      <c r="M18" s="18"/>
      <c r="N18" s="18"/>
      <c r="O18" s="19">
        <f t="shared" si="0"/>
        <v>100</v>
      </c>
    </row>
    <row r="19" spans="2:15" ht="19.95" customHeight="1">
      <c r="B19" s="28"/>
      <c r="C19" s="11"/>
      <c r="D19" s="12"/>
      <c r="E19" s="12"/>
      <c r="F19" s="12"/>
      <c r="G19" s="12"/>
      <c r="H19" s="12"/>
      <c r="I19" s="11"/>
      <c r="J19" s="11"/>
      <c r="K19" s="11"/>
      <c r="L19" s="11" t="e">
        <f>reporte_gastos[[#This Row],[Gasto (-)
'[Compras/Viáticos']]]/reporte_gastos[[#This Row],[No. de integrantes]]</f>
        <v>#DIV/0!</v>
      </c>
      <c r="M19" s="13"/>
      <c r="N19" s="13"/>
      <c r="O19" s="14">
        <f t="shared" si="0"/>
        <v>100</v>
      </c>
    </row>
    <row r="20" spans="2:15" ht="19.95" customHeight="1">
      <c r="B20" s="30"/>
      <c r="C20" s="16"/>
      <c r="D20" s="17"/>
      <c r="E20" s="17"/>
      <c r="F20" s="17"/>
      <c r="G20" s="17"/>
      <c r="H20" s="17"/>
      <c r="I20" s="16"/>
      <c r="J20" s="16"/>
      <c r="K20" s="16"/>
      <c r="L20" s="16" t="e">
        <f>reporte_gastos[[#This Row],[Gasto (-)
'[Compras/Viáticos']]]/reporte_gastos[[#This Row],[No. de integrantes]]</f>
        <v>#DIV/0!</v>
      </c>
      <c r="M20" s="18"/>
      <c r="N20" s="18"/>
      <c r="O20" s="19">
        <f t="shared" si="0"/>
        <v>100</v>
      </c>
    </row>
    <row r="21" spans="2:15" ht="19.95" customHeight="1">
      <c r="B21" s="28"/>
      <c r="C21" s="11"/>
      <c r="D21" s="12"/>
      <c r="E21" s="12"/>
      <c r="F21" s="12"/>
      <c r="G21" s="12"/>
      <c r="H21" s="12"/>
      <c r="I21" s="11"/>
      <c r="J21" s="11"/>
      <c r="K21" s="11"/>
      <c r="L21" s="11" t="e">
        <f>reporte_gastos[[#This Row],[Gasto (-)
'[Compras/Viáticos']]]/reporte_gastos[[#This Row],[No. de integrantes]]</f>
        <v>#DIV/0!</v>
      </c>
      <c r="M21" s="13"/>
      <c r="N21" s="13"/>
      <c r="O21" s="14">
        <f t="shared" si="0"/>
        <v>100</v>
      </c>
    </row>
    <row r="22" spans="2:15" ht="19.95" customHeight="1">
      <c r="B22" s="30"/>
      <c r="C22" s="16"/>
      <c r="D22" s="17"/>
      <c r="E22" s="17"/>
      <c r="F22" s="17"/>
      <c r="G22" s="17"/>
      <c r="H22" s="17"/>
      <c r="I22" s="16"/>
      <c r="J22" s="16"/>
      <c r="K22" s="16"/>
      <c r="L22" s="16" t="e">
        <f>reporte_gastos[[#This Row],[Gasto (-)
'[Compras/Viáticos']]]/reporte_gastos[[#This Row],[No. de integrantes]]</f>
        <v>#DIV/0!</v>
      </c>
      <c r="M22" s="18"/>
      <c r="N22" s="18"/>
      <c r="O22" s="19">
        <f t="shared" si="0"/>
        <v>100</v>
      </c>
    </row>
    <row r="23" spans="2:15" ht="19.95" customHeight="1">
      <c r="B23" s="28"/>
      <c r="C23" s="11"/>
      <c r="D23" s="12"/>
      <c r="E23" s="12"/>
      <c r="F23" s="12"/>
      <c r="G23" s="12"/>
      <c r="H23" s="12"/>
      <c r="I23" s="11"/>
      <c r="J23" s="11"/>
      <c r="K23" s="11"/>
      <c r="L23" s="11" t="e">
        <f>reporte_gastos[[#This Row],[Gasto (-)
'[Compras/Viáticos']]]/reporte_gastos[[#This Row],[No. de integrantes]]</f>
        <v>#DIV/0!</v>
      </c>
      <c r="M23" s="13"/>
      <c r="N23" s="13"/>
      <c r="O23" s="14">
        <f t="shared" si="0"/>
        <v>100</v>
      </c>
    </row>
    <row r="24" spans="2:15" ht="19.95" customHeight="1">
      <c r="B24" s="30"/>
      <c r="C24" s="16"/>
      <c r="D24" s="17"/>
      <c r="E24" s="17"/>
      <c r="F24" s="17"/>
      <c r="G24" s="17"/>
      <c r="H24" s="17"/>
      <c r="I24" s="16"/>
      <c r="J24" s="16"/>
      <c r="K24" s="16"/>
      <c r="L24" s="16" t="e">
        <f>reporte_gastos[[#This Row],[Gasto (-)
'[Compras/Viáticos']]]/reporte_gastos[[#This Row],[No. de integrantes]]</f>
        <v>#DIV/0!</v>
      </c>
      <c r="M24" s="18"/>
      <c r="N24" s="18"/>
      <c r="O24" s="19">
        <f t="shared" si="0"/>
        <v>100</v>
      </c>
    </row>
    <row r="25" spans="2:15" ht="19.95" customHeight="1">
      <c r="B25" s="28"/>
      <c r="C25" s="11"/>
      <c r="D25" s="12"/>
      <c r="E25" s="12"/>
      <c r="F25" s="12"/>
      <c r="G25" s="12"/>
      <c r="H25" s="12"/>
      <c r="I25" s="11"/>
      <c r="J25" s="11"/>
      <c r="K25" s="11"/>
      <c r="L25" s="11" t="e">
        <f>reporte_gastos[[#This Row],[Gasto (-)
'[Compras/Viáticos']]]/reporte_gastos[[#This Row],[No. de integrantes]]</f>
        <v>#DIV/0!</v>
      </c>
      <c r="M25" s="13"/>
      <c r="N25" s="13"/>
      <c r="O25" s="14">
        <f t="shared" si="0"/>
        <v>100</v>
      </c>
    </row>
    <row r="26" spans="2:15" ht="19.95" customHeight="1">
      <c r="B26" s="30"/>
      <c r="C26" s="16"/>
      <c r="D26" s="17"/>
      <c r="E26" s="17"/>
      <c r="F26" s="17"/>
      <c r="G26" s="17"/>
      <c r="H26" s="17"/>
      <c r="I26" s="16"/>
      <c r="J26" s="16"/>
      <c r="K26" s="16"/>
      <c r="L26" s="16" t="e">
        <f>reporte_gastos[[#This Row],[Gasto (-)
'[Compras/Viáticos']]]/reporte_gastos[[#This Row],[No. de integrantes]]</f>
        <v>#DIV/0!</v>
      </c>
      <c r="M26" s="18"/>
      <c r="N26" s="18"/>
      <c r="O26" s="19">
        <f t="shared" si="0"/>
        <v>100</v>
      </c>
    </row>
    <row r="27" spans="2:15" ht="19.95" customHeight="1">
      <c r="B27" s="28"/>
      <c r="C27" s="11"/>
      <c r="D27" s="12"/>
      <c r="E27" s="12"/>
      <c r="F27" s="12"/>
      <c r="G27" s="12"/>
      <c r="H27" s="12"/>
      <c r="I27" s="11"/>
      <c r="J27" s="11"/>
      <c r="K27" s="11"/>
      <c r="L27" s="11" t="e">
        <f>reporte_gastos[[#This Row],[Gasto (-)
'[Compras/Viáticos']]]/reporte_gastos[[#This Row],[No. de integrantes]]</f>
        <v>#DIV/0!</v>
      </c>
      <c r="M27" s="13"/>
      <c r="N27" s="13"/>
      <c r="O27" s="14">
        <f t="shared" si="0"/>
        <v>100</v>
      </c>
    </row>
    <row r="28" spans="2:15" ht="19.95" customHeight="1">
      <c r="B28" s="30"/>
      <c r="C28" s="16"/>
      <c r="D28" s="17"/>
      <c r="E28" s="17"/>
      <c r="F28" s="17"/>
      <c r="G28" s="17"/>
      <c r="H28" s="17"/>
      <c r="I28" s="16"/>
      <c r="J28" s="16"/>
      <c r="K28" s="16"/>
      <c r="L28" s="16" t="e">
        <f>reporte_gastos[[#This Row],[Gasto (-)
'[Compras/Viáticos']]]/reporte_gastos[[#This Row],[No. de integrantes]]</f>
        <v>#DIV/0!</v>
      </c>
      <c r="M28" s="18"/>
      <c r="N28" s="18"/>
      <c r="O28" s="19">
        <f t="shared" si="0"/>
        <v>100</v>
      </c>
    </row>
    <row r="29" spans="2:15" ht="19.95" customHeight="1">
      <c r="B29" s="28"/>
      <c r="C29" s="11"/>
      <c r="D29" s="12"/>
      <c r="E29" s="12"/>
      <c r="F29" s="12"/>
      <c r="G29" s="12"/>
      <c r="H29" s="12"/>
      <c r="I29" s="11"/>
      <c r="J29" s="11"/>
      <c r="K29" s="11"/>
      <c r="L29" s="11" t="e">
        <f>reporte_gastos[[#This Row],[Gasto (-)
'[Compras/Viáticos']]]/reporte_gastos[[#This Row],[No. de integrantes]]</f>
        <v>#DIV/0!</v>
      </c>
      <c r="M29" s="13"/>
      <c r="N29" s="13"/>
      <c r="O29" s="14">
        <f t="shared" si="0"/>
        <v>100</v>
      </c>
    </row>
    <row r="30" spans="2:15" ht="19.95" customHeight="1">
      <c r="B30" s="30"/>
      <c r="C30" s="16"/>
      <c r="D30" s="17"/>
      <c r="E30" s="17"/>
      <c r="F30" s="17"/>
      <c r="G30" s="17"/>
      <c r="H30" s="17"/>
      <c r="I30" s="16"/>
      <c r="J30" s="16"/>
      <c r="K30" s="16"/>
      <c r="L30" s="16" t="e">
        <f>reporte_gastos[[#This Row],[Gasto (-)
'[Compras/Viáticos']]]/reporte_gastos[[#This Row],[No. de integrantes]]</f>
        <v>#DIV/0!</v>
      </c>
      <c r="M30" s="18"/>
      <c r="N30" s="18"/>
      <c r="O30" s="19">
        <f t="shared" si="0"/>
        <v>100</v>
      </c>
    </row>
    <row r="31" spans="2:15" ht="19.95" customHeight="1">
      <c r="B31" s="28"/>
      <c r="C31" s="11"/>
      <c r="D31" s="12"/>
      <c r="E31" s="12"/>
      <c r="F31" s="12"/>
      <c r="G31" s="12"/>
      <c r="H31" s="12"/>
      <c r="I31" s="11"/>
      <c r="J31" s="11"/>
      <c r="K31" s="11"/>
      <c r="L31" s="11" t="e">
        <f>reporte_gastos[[#This Row],[Gasto (-)
'[Compras/Viáticos']]]/reporte_gastos[[#This Row],[No. de integrantes]]</f>
        <v>#DIV/0!</v>
      </c>
      <c r="M31" s="13"/>
      <c r="N31" s="13"/>
      <c r="O31" s="14">
        <f t="shared" si="0"/>
        <v>100</v>
      </c>
    </row>
    <row r="32" spans="2:15" ht="19.95" customHeight="1">
      <c r="B32" s="30"/>
      <c r="C32" s="16"/>
      <c r="D32" s="17"/>
      <c r="E32" s="17"/>
      <c r="F32" s="17"/>
      <c r="G32" s="17"/>
      <c r="H32" s="17"/>
      <c r="I32" s="16"/>
      <c r="J32" s="16"/>
      <c r="K32" s="16"/>
      <c r="L32" s="16" t="e">
        <f>reporte_gastos[[#This Row],[Gasto (-)
'[Compras/Viáticos']]]/reporte_gastos[[#This Row],[No. de integrantes]]</f>
        <v>#DIV/0!</v>
      </c>
      <c r="M32" s="18"/>
      <c r="N32" s="18"/>
      <c r="O32" s="19">
        <f t="shared" si="0"/>
        <v>100</v>
      </c>
    </row>
    <row r="33" spans="2:15" ht="19.95" customHeight="1">
      <c r="B33" s="28"/>
      <c r="C33" s="11"/>
      <c r="D33" s="12"/>
      <c r="E33" s="12"/>
      <c r="F33" s="12"/>
      <c r="G33" s="12"/>
      <c r="H33" s="12"/>
      <c r="I33" s="11"/>
      <c r="J33" s="11"/>
      <c r="K33" s="11"/>
      <c r="L33" s="11" t="e">
        <f>reporte_gastos[[#This Row],[Gasto (-)
'[Compras/Viáticos']]]/reporte_gastos[[#This Row],[No. de integrantes]]</f>
        <v>#DIV/0!</v>
      </c>
      <c r="M33" s="13"/>
      <c r="N33" s="13"/>
      <c r="O33" s="14">
        <f t="shared" si="0"/>
        <v>100</v>
      </c>
    </row>
    <row r="34" spans="2:15" ht="19.95" customHeight="1">
      <c r="B34" s="30"/>
      <c r="C34" s="16"/>
      <c r="D34" s="17"/>
      <c r="E34" s="17"/>
      <c r="F34" s="17"/>
      <c r="G34" s="17"/>
      <c r="H34" s="17"/>
      <c r="I34" s="16"/>
      <c r="J34" s="16"/>
      <c r="K34" s="16"/>
      <c r="L34" s="16" t="e">
        <f>reporte_gastos[[#This Row],[Gasto (-)
'[Compras/Viáticos']]]/reporte_gastos[[#This Row],[No. de integrantes]]</f>
        <v>#DIV/0!</v>
      </c>
      <c r="M34" s="18"/>
      <c r="N34" s="18"/>
      <c r="O34" s="19">
        <f t="shared" si="0"/>
        <v>100</v>
      </c>
    </row>
    <row r="35" spans="2:15" ht="19.95" customHeight="1">
      <c r="B35" s="28"/>
      <c r="C35" s="11"/>
      <c r="D35" s="12"/>
      <c r="E35" s="12"/>
      <c r="F35" s="12"/>
      <c r="G35" s="12"/>
      <c r="H35" s="12"/>
      <c r="I35" s="11"/>
      <c r="J35" s="11"/>
      <c r="K35" s="11"/>
      <c r="L35" s="11" t="e">
        <f>reporte_gastos[[#This Row],[Gasto (-)
'[Compras/Viáticos']]]/reporte_gastos[[#This Row],[No. de integrantes]]</f>
        <v>#DIV/0!</v>
      </c>
      <c r="M35" s="13"/>
      <c r="N35" s="13"/>
      <c r="O35" s="14">
        <f t="shared" si="0"/>
        <v>100</v>
      </c>
    </row>
    <row r="36" spans="2:15" ht="19.95" customHeight="1">
      <c r="B36" s="30"/>
      <c r="C36" s="16"/>
      <c r="D36" s="17"/>
      <c r="E36" s="17"/>
      <c r="F36" s="17"/>
      <c r="G36" s="17"/>
      <c r="H36" s="17"/>
      <c r="I36" s="16"/>
      <c r="J36" s="16"/>
      <c r="K36" s="16"/>
      <c r="L36" s="16" t="e">
        <f>reporte_gastos[[#This Row],[Gasto (-)
'[Compras/Viáticos']]]/reporte_gastos[[#This Row],[No. de integrantes]]</f>
        <v>#DIV/0!</v>
      </c>
      <c r="M36" s="18"/>
      <c r="N36" s="18"/>
      <c r="O36" s="19">
        <f t="shared" si="0"/>
        <v>100</v>
      </c>
    </row>
    <row r="37" spans="2:15" ht="19.95" customHeight="1">
      <c r="B37" s="28"/>
      <c r="C37" s="11"/>
      <c r="D37" s="12"/>
      <c r="E37" s="12"/>
      <c r="F37" s="12"/>
      <c r="G37" s="12"/>
      <c r="H37" s="12"/>
      <c r="I37" s="11"/>
      <c r="J37" s="11"/>
      <c r="K37" s="11"/>
      <c r="L37" s="11" t="e">
        <f>reporte_gastos[[#This Row],[Gasto (-)
'[Compras/Viáticos']]]/reporte_gastos[[#This Row],[No. de integrantes]]</f>
        <v>#DIV/0!</v>
      </c>
      <c r="M37" s="13"/>
      <c r="N37" s="13"/>
      <c r="O37" s="14">
        <f t="shared" si="0"/>
        <v>100</v>
      </c>
    </row>
    <row r="38" spans="2:15" ht="19.95" customHeight="1">
      <c r="B38" s="30"/>
      <c r="C38" s="16"/>
      <c r="D38" s="17"/>
      <c r="E38" s="17"/>
      <c r="F38" s="17"/>
      <c r="G38" s="17"/>
      <c r="H38" s="17"/>
      <c r="I38" s="16"/>
      <c r="J38" s="16"/>
      <c r="K38" s="16"/>
      <c r="L38" s="16" t="e">
        <f>reporte_gastos[[#This Row],[Gasto (-)
'[Compras/Viáticos']]]/reporte_gastos[[#This Row],[No. de integrantes]]</f>
        <v>#DIV/0!</v>
      </c>
      <c r="M38" s="18"/>
      <c r="N38" s="18"/>
      <c r="O38" s="19">
        <f t="shared" si="0"/>
        <v>100</v>
      </c>
    </row>
    <row r="39" spans="2:15" ht="19.95" customHeight="1">
      <c r="B39" s="28"/>
      <c r="C39" s="11"/>
      <c r="D39" s="12"/>
      <c r="E39" s="12"/>
      <c r="F39" s="12"/>
      <c r="G39" s="12"/>
      <c r="H39" s="12"/>
      <c r="I39" s="11"/>
      <c r="J39" s="11"/>
      <c r="K39" s="11"/>
      <c r="L39" s="11" t="e">
        <f>reporte_gastos[[#This Row],[Gasto (-)
'[Compras/Viáticos']]]/reporte_gastos[[#This Row],[No. de integrantes]]</f>
        <v>#DIV/0!</v>
      </c>
      <c r="M39" s="13"/>
      <c r="N39" s="13"/>
      <c r="O39" s="14">
        <f t="shared" si="0"/>
        <v>100</v>
      </c>
    </row>
    <row r="40" spans="2:15" ht="19.95" customHeight="1">
      <c r="B40" s="30"/>
      <c r="C40" s="16"/>
      <c r="D40" s="17"/>
      <c r="E40" s="17"/>
      <c r="F40" s="17"/>
      <c r="G40" s="17"/>
      <c r="H40" s="17"/>
      <c r="I40" s="16"/>
      <c r="J40" s="16"/>
      <c r="K40" s="16"/>
      <c r="L40" s="16" t="e">
        <f>reporte_gastos[[#This Row],[Gasto (-)
'[Compras/Viáticos']]]/reporte_gastos[[#This Row],[No. de integrantes]]</f>
        <v>#DIV/0!</v>
      </c>
      <c r="M40" s="18"/>
      <c r="N40" s="18"/>
      <c r="O40" s="19">
        <f t="shared" ref="O40:O68" si="1">O39+M40-N40</f>
        <v>100</v>
      </c>
    </row>
    <row r="41" spans="2:15" ht="19.95" customHeight="1">
      <c r="B41" s="28"/>
      <c r="C41" s="11"/>
      <c r="D41" s="12"/>
      <c r="E41" s="12"/>
      <c r="F41" s="12"/>
      <c r="G41" s="12"/>
      <c r="H41" s="12"/>
      <c r="I41" s="11"/>
      <c r="J41" s="11"/>
      <c r="K41" s="11"/>
      <c r="L41" s="11" t="e">
        <f>reporte_gastos[[#This Row],[Gasto (-)
'[Compras/Viáticos']]]/reporte_gastos[[#This Row],[No. de integrantes]]</f>
        <v>#DIV/0!</v>
      </c>
      <c r="M41" s="13"/>
      <c r="N41" s="13"/>
      <c r="O41" s="14">
        <f t="shared" si="1"/>
        <v>100</v>
      </c>
    </row>
    <row r="42" spans="2:15" ht="19.95" customHeight="1">
      <c r="B42" s="30"/>
      <c r="C42" s="16"/>
      <c r="D42" s="17"/>
      <c r="E42" s="17"/>
      <c r="F42" s="17"/>
      <c r="G42" s="17"/>
      <c r="H42" s="17"/>
      <c r="I42" s="16"/>
      <c r="J42" s="16"/>
      <c r="K42" s="16"/>
      <c r="L42" s="16" t="e">
        <f>reporte_gastos[[#This Row],[Gasto (-)
'[Compras/Viáticos']]]/reporte_gastos[[#This Row],[No. de integrantes]]</f>
        <v>#DIV/0!</v>
      </c>
      <c r="M42" s="18"/>
      <c r="N42" s="18"/>
      <c r="O42" s="19">
        <f t="shared" si="1"/>
        <v>100</v>
      </c>
    </row>
    <row r="43" spans="2:15" ht="19.95" customHeight="1">
      <c r="B43" s="28"/>
      <c r="C43" s="11"/>
      <c r="D43" s="12"/>
      <c r="E43" s="12"/>
      <c r="F43" s="12"/>
      <c r="G43" s="12"/>
      <c r="H43" s="12"/>
      <c r="I43" s="11"/>
      <c r="J43" s="11"/>
      <c r="K43" s="11"/>
      <c r="L43" s="11" t="e">
        <f>reporte_gastos[[#This Row],[Gasto (-)
'[Compras/Viáticos']]]/reporte_gastos[[#This Row],[No. de integrantes]]</f>
        <v>#DIV/0!</v>
      </c>
      <c r="M43" s="13"/>
      <c r="N43" s="13"/>
      <c r="O43" s="14">
        <f t="shared" si="1"/>
        <v>100</v>
      </c>
    </row>
    <row r="44" spans="2:15" ht="19.95" customHeight="1">
      <c r="B44" s="30"/>
      <c r="C44" s="16"/>
      <c r="D44" s="17"/>
      <c r="E44" s="17"/>
      <c r="F44" s="17"/>
      <c r="G44" s="17"/>
      <c r="H44" s="17"/>
      <c r="I44" s="16"/>
      <c r="J44" s="16"/>
      <c r="K44" s="16"/>
      <c r="L44" s="16" t="e">
        <f>reporte_gastos[[#This Row],[Gasto (-)
'[Compras/Viáticos']]]/reporte_gastos[[#This Row],[No. de integrantes]]</f>
        <v>#DIV/0!</v>
      </c>
      <c r="M44" s="18"/>
      <c r="N44" s="18"/>
      <c r="O44" s="19">
        <f t="shared" si="1"/>
        <v>100</v>
      </c>
    </row>
    <row r="45" spans="2:15" ht="19.95" customHeight="1">
      <c r="B45" s="28"/>
      <c r="C45" s="11"/>
      <c r="D45" s="12"/>
      <c r="E45" s="12"/>
      <c r="F45" s="12"/>
      <c r="G45" s="12"/>
      <c r="H45" s="12"/>
      <c r="I45" s="11"/>
      <c r="J45" s="11"/>
      <c r="K45" s="11"/>
      <c r="L45" s="11" t="e">
        <f>reporte_gastos[[#This Row],[Gasto (-)
'[Compras/Viáticos']]]/reporte_gastos[[#This Row],[No. de integrantes]]</f>
        <v>#DIV/0!</v>
      </c>
      <c r="M45" s="13"/>
      <c r="N45" s="13"/>
      <c r="O45" s="14">
        <f t="shared" si="1"/>
        <v>100</v>
      </c>
    </row>
    <row r="46" spans="2:15" ht="19.95" customHeight="1">
      <c r="B46" s="30"/>
      <c r="C46" s="16"/>
      <c r="D46" s="17"/>
      <c r="E46" s="17"/>
      <c r="F46" s="17"/>
      <c r="G46" s="17"/>
      <c r="H46" s="17"/>
      <c r="I46" s="16"/>
      <c r="J46" s="16"/>
      <c r="K46" s="16"/>
      <c r="L46" s="16" t="e">
        <f>reporte_gastos[[#This Row],[Gasto (-)
'[Compras/Viáticos']]]/reporte_gastos[[#This Row],[No. de integrantes]]</f>
        <v>#DIV/0!</v>
      </c>
      <c r="M46" s="18"/>
      <c r="N46" s="18"/>
      <c r="O46" s="19">
        <f t="shared" si="1"/>
        <v>100</v>
      </c>
    </row>
    <row r="47" spans="2:15" ht="19.95" customHeight="1">
      <c r="B47" s="28"/>
      <c r="C47" s="11"/>
      <c r="D47" s="12"/>
      <c r="E47" s="12"/>
      <c r="F47" s="12"/>
      <c r="G47" s="12"/>
      <c r="H47" s="12"/>
      <c r="I47" s="11"/>
      <c r="J47" s="11"/>
      <c r="K47" s="11"/>
      <c r="L47" s="11" t="e">
        <f>reporte_gastos[[#This Row],[Gasto (-)
'[Compras/Viáticos']]]/reporte_gastos[[#This Row],[No. de integrantes]]</f>
        <v>#DIV/0!</v>
      </c>
      <c r="M47" s="13"/>
      <c r="N47" s="13"/>
      <c r="O47" s="14">
        <f t="shared" si="1"/>
        <v>100</v>
      </c>
    </row>
    <row r="48" spans="2:15" ht="19.95" customHeight="1">
      <c r="B48" s="30"/>
      <c r="C48" s="16"/>
      <c r="D48" s="17"/>
      <c r="E48" s="17"/>
      <c r="F48" s="17"/>
      <c r="G48" s="17"/>
      <c r="H48" s="17"/>
      <c r="I48" s="16"/>
      <c r="J48" s="16"/>
      <c r="K48" s="16"/>
      <c r="L48" s="16" t="e">
        <f>reporte_gastos[[#This Row],[Gasto (-)
'[Compras/Viáticos']]]/reporte_gastos[[#This Row],[No. de integrantes]]</f>
        <v>#DIV/0!</v>
      </c>
      <c r="M48" s="18"/>
      <c r="N48" s="18"/>
      <c r="O48" s="19">
        <f t="shared" si="1"/>
        <v>100</v>
      </c>
    </row>
    <row r="49" spans="2:15" ht="19.95" customHeight="1">
      <c r="B49" s="28"/>
      <c r="C49" s="11"/>
      <c r="D49" s="12"/>
      <c r="E49" s="12"/>
      <c r="F49" s="12"/>
      <c r="G49" s="12"/>
      <c r="H49" s="12"/>
      <c r="I49" s="11"/>
      <c r="J49" s="11"/>
      <c r="K49" s="11"/>
      <c r="L49" s="11" t="e">
        <f>reporte_gastos[[#This Row],[Gasto (-)
'[Compras/Viáticos']]]/reporte_gastos[[#This Row],[No. de integrantes]]</f>
        <v>#DIV/0!</v>
      </c>
      <c r="M49" s="13"/>
      <c r="N49" s="13"/>
      <c r="O49" s="14">
        <f t="shared" si="1"/>
        <v>100</v>
      </c>
    </row>
    <row r="50" spans="2:15" ht="19.95" customHeight="1">
      <c r="B50" s="30"/>
      <c r="C50" s="16"/>
      <c r="D50" s="17"/>
      <c r="E50" s="17"/>
      <c r="F50" s="17"/>
      <c r="G50" s="17"/>
      <c r="H50" s="17"/>
      <c r="I50" s="16"/>
      <c r="J50" s="16"/>
      <c r="K50" s="16"/>
      <c r="L50" s="16" t="e">
        <f>reporte_gastos[[#This Row],[Gasto (-)
'[Compras/Viáticos']]]/reporte_gastos[[#This Row],[No. de integrantes]]</f>
        <v>#DIV/0!</v>
      </c>
      <c r="M50" s="18"/>
      <c r="N50" s="18"/>
      <c r="O50" s="19">
        <f t="shared" si="1"/>
        <v>100</v>
      </c>
    </row>
    <row r="51" spans="2:15" ht="19.95" customHeight="1">
      <c r="B51" s="28"/>
      <c r="C51" s="11"/>
      <c r="D51" s="12"/>
      <c r="E51" s="12"/>
      <c r="F51" s="12"/>
      <c r="G51" s="12"/>
      <c r="H51" s="12"/>
      <c r="I51" s="11"/>
      <c r="J51" s="11"/>
      <c r="K51" s="11"/>
      <c r="L51" s="11" t="e">
        <f>reporte_gastos[[#This Row],[Gasto (-)
'[Compras/Viáticos']]]/reporte_gastos[[#This Row],[No. de integrantes]]</f>
        <v>#DIV/0!</v>
      </c>
      <c r="M51" s="13"/>
      <c r="N51" s="13"/>
      <c r="O51" s="14">
        <f t="shared" si="1"/>
        <v>100</v>
      </c>
    </row>
    <row r="52" spans="2:15" ht="19.95" customHeight="1">
      <c r="B52" s="30"/>
      <c r="C52" s="16"/>
      <c r="D52" s="17"/>
      <c r="E52" s="17"/>
      <c r="F52" s="17"/>
      <c r="G52" s="17"/>
      <c r="H52" s="17"/>
      <c r="I52" s="16"/>
      <c r="J52" s="16"/>
      <c r="K52" s="16"/>
      <c r="L52" s="16" t="e">
        <f>reporte_gastos[[#This Row],[Gasto (-)
'[Compras/Viáticos']]]/reporte_gastos[[#This Row],[No. de integrantes]]</f>
        <v>#DIV/0!</v>
      </c>
      <c r="M52" s="18"/>
      <c r="N52" s="18"/>
      <c r="O52" s="19">
        <f t="shared" si="1"/>
        <v>100</v>
      </c>
    </row>
    <row r="53" spans="2:15" ht="19.95" customHeight="1">
      <c r="B53" s="28"/>
      <c r="C53" s="11"/>
      <c r="D53" s="12"/>
      <c r="E53" s="12"/>
      <c r="F53" s="12"/>
      <c r="G53" s="12"/>
      <c r="H53" s="12"/>
      <c r="I53" s="11"/>
      <c r="J53" s="11"/>
      <c r="K53" s="11"/>
      <c r="L53" s="11" t="e">
        <f>reporte_gastos[[#This Row],[Gasto (-)
'[Compras/Viáticos']]]/reporte_gastos[[#This Row],[No. de integrantes]]</f>
        <v>#DIV/0!</v>
      </c>
      <c r="M53" s="13"/>
      <c r="N53" s="13"/>
      <c r="O53" s="14">
        <f t="shared" si="1"/>
        <v>100</v>
      </c>
    </row>
    <row r="54" spans="2:15" ht="19.95" customHeight="1">
      <c r="B54" s="30"/>
      <c r="C54" s="16"/>
      <c r="D54" s="17"/>
      <c r="E54" s="17"/>
      <c r="F54" s="17"/>
      <c r="G54" s="17"/>
      <c r="H54" s="17"/>
      <c r="I54" s="16"/>
      <c r="J54" s="16"/>
      <c r="K54" s="16"/>
      <c r="L54" s="16" t="e">
        <f>reporte_gastos[[#This Row],[Gasto (-)
'[Compras/Viáticos']]]/reporte_gastos[[#This Row],[No. de integrantes]]</f>
        <v>#DIV/0!</v>
      </c>
      <c r="M54" s="18"/>
      <c r="N54" s="18"/>
      <c r="O54" s="19">
        <f t="shared" si="1"/>
        <v>100</v>
      </c>
    </row>
    <row r="55" spans="2:15" ht="19.95" customHeight="1">
      <c r="B55" s="28"/>
      <c r="C55" s="11"/>
      <c r="D55" s="12"/>
      <c r="E55" s="12"/>
      <c r="F55" s="12"/>
      <c r="G55" s="12"/>
      <c r="H55" s="12"/>
      <c r="I55" s="11"/>
      <c r="J55" s="11"/>
      <c r="K55" s="11"/>
      <c r="L55" s="11" t="e">
        <f>reporte_gastos[[#This Row],[Gasto (-)
'[Compras/Viáticos']]]/reporte_gastos[[#This Row],[No. de integrantes]]</f>
        <v>#DIV/0!</v>
      </c>
      <c r="M55" s="13"/>
      <c r="N55" s="13"/>
      <c r="O55" s="14">
        <f t="shared" si="1"/>
        <v>100</v>
      </c>
    </row>
    <row r="56" spans="2:15" ht="19.95" customHeight="1">
      <c r="B56" s="30"/>
      <c r="C56" s="16"/>
      <c r="D56" s="17"/>
      <c r="E56" s="17"/>
      <c r="F56" s="17"/>
      <c r="G56" s="17"/>
      <c r="H56" s="17"/>
      <c r="I56" s="16"/>
      <c r="J56" s="16"/>
      <c r="K56" s="16"/>
      <c r="L56" s="16" t="e">
        <f>reporte_gastos[[#This Row],[Gasto (-)
'[Compras/Viáticos']]]/reporte_gastos[[#This Row],[No. de integrantes]]</f>
        <v>#DIV/0!</v>
      </c>
      <c r="M56" s="18"/>
      <c r="N56" s="18"/>
      <c r="O56" s="19">
        <f t="shared" si="1"/>
        <v>100</v>
      </c>
    </row>
    <row r="57" spans="2:15" ht="19.95" customHeight="1">
      <c r="B57" s="28"/>
      <c r="C57" s="11"/>
      <c r="D57" s="12"/>
      <c r="E57" s="12"/>
      <c r="F57" s="12"/>
      <c r="G57" s="12"/>
      <c r="H57" s="12"/>
      <c r="I57" s="11"/>
      <c r="J57" s="11"/>
      <c r="K57" s="11"/>
      <c r="L57" s="11" t="e">
        <f>reporte_gastos[[#This Row],[Gasto (-)
'[Compras/Viáticos']]]/reporte_gastos[[#This Row],[No. de integrantes]]</f>
        <v>#DIV/0!</v>
      </c>
      <c r="M57" s="13"/>
      <c r="N57" s="13"/>
      <c r="O57" s="14">
        <f t="shared" si="1"/>
        <v>100</v>
      </c>
    </row>
    <row r="58" spans="2:15" ht="19.95" customHeight="1">
      <c r="B58" s="30"/>
      <c r="C58" s="16"/>
      <c r="D58" s="17"/>
      <c r="E58" s="17"/>
      <c r="F58" s="17"/>
      <c r="G58" s="17"/>
      <c r="H58" s="17"/>
      <c r="I58" s="16"/>
      <c r="J58" s="16"/>
      <c r="K58" s="16"/>
      <c r="L58" s="16" t="e">
        <f>reporte_gastos[[#This Row],[Gasto (-)
'[Compras/Viáticos']]]/reporte_gastos[[#This Row],[No. de integrantes]]</f>
        <v>#DIV/0!</v>
      </c>
      <c r="M58" s="18"/>
      <c r="N58" s="18"/>
      <c r="O58" s="19">
        <f t="shared" si="1"/>
        <v>100</v>
      </c>
    </row>
    <row r="59" spans="2:15" ht="19.95" customHeight="1">
      <c r="B59" s="28"/>
      <c r="C59" s="11"/>
      <c r="D59" s="12"/>
      <c r="E59" s="12"/>
      <c r="F59" s="12"/>
      <c r="G59" s="12"/>
      <c r="H59" s="12"/>
      <c r="I59" s="11"/>
      <c r="J59" s="11"/>
      <c r="K59" s="11"/>
      <c r="L59" s="11" t="e">
        <f>reporte_gastos[[#This Row],[Gasto (-)
'[Compras/Viáticos']]]/reporte_gastos[[#This Row],[No. de integrantes]]</f>
        <v>#DIV/0!</v>
      </c>
      <c r="M59" s="13"/>
      <c r="N59" s="13"/>
      <c r="O59" s="14">
        <f t="shared" si="1"/>
        <v>100</v>
      </c>
    </row>
    <row r="60" spans="2:15" ht="19.95" customHeight="1">
      <c r="B60" s="31"/>
      <c r="C60" s="21"/>
      <c r="D60" s="22"/>
      <c r="E60" s="22"/>
      <c r="F60" s="22"/>
      <c r="G60" s="22"/>
      <c r="H60" s="22"/>
      <c r="I60" s="21"/>
      <c r="J60" s="21"/>
      <c r="K60" s="21"/>
      <c r="L60" s="21" t="e">
        <f>reporte_gastos[[#This Row],[Gasto (-)
'[Compras/Viáticos']]]/reporte_gastos[[#This Row],[No. de integrantes]]</f>
        <v>#DIV/0!</v>
      </c>
      <c r="M60" s="23"/>
      <c r="N60" s="23"/>
      <c r="O60" s="24">
        <f t="shared" si="1"/>
        <v>100</v>
      </c>
    </row>
    <row r="61" spans="2:15" ht="24" customHeight="1">
      <c r="B61" s="30"/>
      <c r="C61" s="16"/>
      <c r="D61" s="17"/>
      <c r="E61" s="17"/>
      <c r="F61" s="17"/>
      <c r="G61" s="17"/>
      <c r="H61" s="17"/>
      <c r="I61" s="16"/>
      <c r="J61" s="16"/>
      <c r="K61" s="16"/>
      <c r="L61" s="16" t="e">
        <f>reporte_gastos[[#This Row],[Gasto (-)
'[Compras/Viáticos']]]/reporte_gastos[[#This Row],[No. de integrantes]]</f>
        <v>#DIV/0!</v>
      </c>
      <c r="M61" s="18"/>
      <c r="N61" s="18"/>
      <c r="O61" s="24">
        <f t="shared" si="1"/>
        <v>100</v>
      </c>
    </row>
    <row r="62" spans="2:15">
      <c r="B62" s="30"/>
      <c r="C62" s="16"/>
      <c r="D62" s="17"/>
      <c r="E62" s="17"/>
      <c r="F62" s="17"/>
      <c r="G62" s="17"/>
      <c r="H62" s="17"/>
      <c r="I62" s="16"/>
      <c r="J62" s="16"/>
      <c r="K62" s="16"/>
      <c r="L62" s="16" t="e">
        <f>reporte_gastos[[#This Row],[Gasto (-)
'[Compras/Viáticos']]]/reporte_gastos[[#This Row],[No. de integrantes]]</f>
        <v>#DIV/0!</v>
      </c>
      <c r="M62" s="18"/>
      <c r="N62" s="18"/>
      <c r="O62" s="24">
        <f t="shared" si="1"/>
        <v>100</v>
      </c>
    </row>
    <row r="63" spans="2:15">
      <c r="B63" s="30"/>
      <c r="C63" s="16"/>
      <c r="D63" s="17"/>
      <c r="E63" s="17"/>
      <c r="F63" s="17"/>
      <c r="G63" s="17"/>
      <c r="H63" s="17"/>
      <c r="I63" s="16"/>
      <c r="J63" s="16"/>
      <c r="K63" s="16"/>
      <c r="L63" s="16" t="e">
        <f>reporte_gastos[[#This Row],[Gasto (-)
'[Compras/Viáticos']]]/reporte_gastos[[#This Row],[No. de integrantes]]</f>
        <v>#DIV/0!</v>
      </c>
      <c r="M63" s="18"/>
      <c r="N63" s="18"/>
      <c r="O63" s="24">
        <f t="shared" si="1"/>
        <v>100</v>
      </c>
    </row>
    <row r="64" spans="2:15">
      <c r="B64" s="30"/>
      <c r="C64" s="16"/>
      <c r="D64" s="17"/>
      <c r="E64" s="17"/>
      <c r="F64" s="17"/>
      <c r="G64" s="17"/>
      <c r="H64" s="17"/>
      <c r="I64" s="16"/>
      <c r="J64" s="16"/>
      <c r="K64" s="16"/>
      <c r="L64" s="16" t="e">
        <f>reporte_gastos[[#This Row],[Gasto (-)
'[Compras/Viáticos']]]/reporte_gastos[[#This Row],[No. de integrantes]]</f>
        <v>#DIV/0!</v>
      </c>
      <c r="M64" s="18"/>
      <c r="N64" s="18"/>
      <c r="O64" s="24">
        <f t="shared" si="1"/>
        <v>100</v>
      </c>
    </row>
    <row r="65" spans="2:15">
      <c r="B65" s="30"/>
      <c r="C65" s="16"/>
      <c r="D65" s="17"/>
      <c r="E65" s="17"/>
      <c r="F65" s="17"/>
      <c r="G65" s="17"/>
      <c r="H65" s="17"/>
      <c r="I65" s="16"/>
      <c r="J65" s="16"/>
      <c r="K65" s="16"/>
      <c r="L65" s="16" t="e">
        <f>reporte_gastos[[#This Row],[Gasto (-)
'[Compras/Viáticos']]]/reporte_gastos[[#This Row],[No. de integrantes]]</f>
        <v>#DIV/0!</v>
      </c>
      <c r="M65" s="18"/>
      <c r="N65" s="18"/>
      <c r="O65" s="24">
        <f t="shared" si="1"/>
        <v>100</v>
      </c>
    </row>
    <row r="66" spans="2:15">
      <c r="B66" s="30"/>
      <c r="C66" s="16"/>
      <c r="D66" s="17"/>
      <c r="E66" s="17"/>
      <c r="F66" s="17"/>
      <c r="G66" s="17"/>
      <c r="H66" s="17"/>
      <c r="I66" s="16"/>
      <c r="J66" s="16"/>
      <c r="K66" s="16"/>
      <c r="L66" s="16" t="e">
        <f>reporte_gastos[[#This Row],[Gasto (-)
'[Compras/Viáticos']]]/reporte_gastos[[#This Row],[No. de integrantes]]</f>
        <v>#DIV/0!</v>
      </c>
      <c r="M66" s="18"/>
      <c r="N66" s="18"/>
      <c r="O66" s="24">
        <f t="shared" si="1"/>
        <v>100</v>
      </c>
    </row>
    <row r="67" spans="2:15">
      <c r="B67" s="30"/>
      <c r="C67" s="16"/>
      <c r="D67" s="17"/>
      <c r="E67" s="17"/>
      <c r="F67" s="17"/>
      <c r="G67" s="17"/>
      <c r="H67" s="17"/>
      <c r="I67" s="16"/>
      <c r="J67" s="16"/>
      <c r="K67" s="16"/>
      <c r="L67" s="16" t="e">
        <f>reporte_gastos[[#This Row],[Gasto (-)
'[Compras/Viáticos']]]/reporte_gastos[[#This Row],[No. de integrantes]]</f>
        <v>#DIV/0!</v>
      </c>
      <c r="M67" s="18"/>
      <c r="N67" s="18"/>
      <c r="O67" s="24">
        <f t="shared" si="1"/>
        <v>100</v>
      </c>
    </row>
    <row r="68" spans="2:15">
      <c r="B68" s="30"/>
      <c r="C68" s="16"/>
      <c r="D68" s="17"/>
      <c r="E68" s="17"/>
      <c r="F68" s="17"/>
      <c r="G68" s="17"/>
      <c r="H68" s="17"/>
      <c r="I68" s="16"/>
      <c r="J68" s="16"/>
      <c r="K68" s="16"/>
      <c r="L68" s="16" t="e">
        <f>reporte_gastos[[#This Row],[Gasto (-)
'[Compras/Viáticos']]]/reporte_gastos[[#This Row],[No. de integrantes]]</f>
        <v>#DIV/0!</v>
      </c>
      <c r="M68" s="18"/>
      <c r="N68" s="18"/>
      <c r="O68" s="24">
        <f t="shared" si="1"/>
        <v>100</v>
      </c>
    </row>
    <row r="69" spans="2:15" ht="13.8" thickBot="1">
      <c r="B69" s="47"/>
      <c r="C69" s="48"/>
      <c r="D69" s="25" t="s">
        <v>44</v>
      </c>
      <c r="E69" s="25"/>
      <c r="F69" s="25"/>
      <c r="G69" s="25"/>
      <c r="H69" s="48"/>
      <c r="I69" s="48"/>
      <c r="J69" s="48"/>
      <c r="K69" s="48"/>
      <c r="L69" s="48"/>
      <c r="M69" s="26">
        <f>SUM(M7:M68)</f>
        <v>200</v>
      </c>
      <c r="N69" s="26">
        <f>SUM(N7:N68)</f>
        <v>600</v>
      </c>
      <c r="O69" s="48"/>
    </row>
    <row r="70" spans="2:15" ht="13.8" thickTop="1"/>
    <row r="72" spans="2:15">
      <c r="C72" s="36" t="s">
        <v>45</v>
      </c>
      <c r="I72" s="36" t="s">
        <v>45</v>
      </c>
      <c r="M72" s="36" t="s">
        <v>45</v>
      </c>
    </row>
    <row r="73" spans="2:15">
      <c r="C73" s="27" t="s">
        <v>46</v>
      </c>
      <c r="I73" s="27" t="s">
        <v>47</v>
      </c>
      <c r="M73" s="27" t="s">
        <v>48</v>
      </c>
    </row>
  </sheetData>
  <mergeCells count="3">
    <mergeCell ref="Q2:R2"/>
    <mergeCell ref="B1:O1"/>
    <mergeCell ref="K2:M5"/>
  </mergeCells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Reporte de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Yad.jrin@gmail.com</cp:lastModifiedBy>
  <dcterms:created xsi:type="dcterms:W3CDTF">2026-06-15T19:22:17Z</dcterms:created>
  <dcterms:modified xsi:type="dcterms:W3CDTF">2026-06-18T15:29:05Z</dcterms:modified>
</cp:coreProperties>
</file>