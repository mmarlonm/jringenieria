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ferda\Downloads\"/>
    </mc:Choice>
  </mc:AlternateContent>
  <xr:revisionPtr revIDLastSave="0" documentId="13_ncr:1_{C2434123-A48F-41D0-A5F4-FF3859C8483E}" xr6:coauthVersionLast="47" xr6:coauthVersionMax="47" xr10:uidLastSave="{00000000-0000-0000-0000-000000000000}"/>
  <bookViews>
    <workbookView xWindow="-108" yWindow="-108" windowWidth="23256" windowHeight="12456" xr2:uid="{00000000-000D-0000-FFFF-FFFF00000000}"/>
  </bookViews>
  <sheets>
    <sheet name="cronograma" sheetId="34" r:id="rId1"/>
  </sheets>
  <definedNames>
    <definedName name="_xlnm.Print_Area" localSheetId="0">cronograma!$A$1:$Z$367</definedName>
    <definedName name="_xlnm.Print_Titles" localSheetId="0">cronograma!$1:$7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58" i="34" l="1"/>
  <c r="B255" i="34"/>
  <c r="B253" i="34"/>
  <c r="B251" i="34"/>
  <c r="B249" i="34"/>
  <c r="B247" i="34"/>
  <c r="B245" i="34"/>
  <c r="B243" i="34"/>
  <c r="B241" i="34"/>
  <c r="C6947" i="34"/>
  <c r="B239" i="34"/>
  <c r="B237" i="34"/>
  <c r="B235" i="34"/>
  <c r="B233" i="34"/>
  <c r="B231" i="34"/>
  <c r="A16" i="34"/>
</calcChain>
</file>

<file path=xl/sharedStrings.xml><?xml version="1.0" encoding="utf-8"?>
<sst xmlns="http://schemas.openxmlformats.org/spreadsheetml/2006/main" count="367" uniqueCount="323">
  <si>
    <t>CLAVE</t>
  </si>
  <si>
    <t>CONCEPTO</t>
  </si>
  <si>
    <t>CANTIDAD</t>
  </si>
  <si>
    <t>PRESUPUESTO BASE</t>
  </si>
  <si>
    <t>RESUMEN DE PARTIDAS</t>
  </si>
  <si>
    <t>NOTAS</t>
  </si>
  <si>
    <t>UBICACIÓN</t>
  </si>
  <si>
    <t>CLIENTE</t>
  </si>
  <si>
    <t>PROYECTO EJECUTIVO</t>
  </si>
  <si>
    <t>ANTEPROYECTO</t>
  </si>
  <si>
    <t>PROYECTO ARQUITECTONICO</t>
  </si>
  <si>
    <t>DESCRIPCION DE PROYECTO</t>
  </si>
  <si>
    <t>SEMANA 1</t>
  </si>
  <si>
    <t>SEMANA 2</t>
  </si>
  <si>
    <t>SEMANA 3</t>
  </si>
  <si>
    <t>SEMANA 4</t>
  </si>
  <si>
    <t>SEMANA 5</t>
  </si>
  <si>
    <t>SEMANA 6</t>
  </si>
  <si>
    <t>CRONOGRAMA</t>
  </si>
  <si>
    <t xml:space="preserve">CAMPO </t>
  </si>
  <si>
    <t xml:space="preserve">LOS CABOS BAJA CALIFORNIA </t>
  </si>
  <si>
    <t xml:space="preserve">CONSTRUCTORA Y DESALINIZADORA DEL PACÍFICO, S.A. DE C.V. </t>
  </si>
  <si>
    <t>SEMANA 7</t>
  </si>
  <si>
    <t>SEMANA 8</t>
  </si>
  <si>
    <t>SEMANA 9</t>
  </si>
  <si>
    <t>SEMANA 10</t>
  </si>
  <si>
    <t>SEMANA 11</t>
  </si>
  <si>
    <t>SEMANA 12</t>
  </si>
  <si>
    <t>SEMANA 13</t>
  </si>
  <si>
    <t>SEMANA 14</t>
  </si>
  <si>
    <t>LEGAL ECONOMICO</t>
  </si>
  <si>
    <t xml:space="preserve">Ingreso de OC a fabricantes para equipos criticos </t>
  </si>
  <si>
    <t>Revision de contrato y retroalimentacion.</t>
  </si>
  <si>
    <t>Firma de contrato.</t>
  </si>
  <si>
    <t>Recepcion de oc</t>
  </si>
  <si>
    <t>Emision de fianzas</t>
  </si>
  <si>
    <t>Emision de factura 1 de anticipo.</t>
  </si>
  <si>
    <t>Emision de factura 2 de anticipo.</t>
  </si>
  <si>
    <t>Pago de anticipo</t>
  </si>
  <si>
    <t xml:space="preserve">Compra de materiales </t>
  </si>
  <si>
    <t>CAT CAMPO</t>
  </si>
  <si>
    <t>ADQUISICION DE MATERIALES</t>
  </si>
  <si>
    <t>MONTAJE FÍSICO Y CONEXIÓN ELÉCTRICA DE LA SUBESTACIÓN COMPACTA ACOMETIDA BBA-M720-01-01, ACOMETIDA ELÉCTRICA DE 3Ø, 630A, 13,200VCA, 14KA. 3 SECCIONES: 1 ACOMETIDA CON SECCIONADOR Y MEDICIÓN, 1 USUARIO CON SECCIONADOR PARA LA SUBESTACIÓN DE LA EDAM, 1 USUARIO CON SECCIONADOR PARA EL CÁRCAMO.
INCLUYE: PRUEBAS VLF A CABLES DE POTENCIA, SUMINISTRO E INSTALACION DE ACCESORIOS DE CONEXION EN MT, MANIOBRAS, MONTAJE FÍSICO Y CONEXIÓN ELÉCTRICA DE LAS CELDAS DE MT. 
°CONEXIÓN DEL ALIMENTADOR PRINCIPAL EN MT, 6Ø (1X750KCM C/U) + 2N (4/0AWG), FASES EN COBRE, 15KV, XLPE-RA, NEUTRO COBRE DESNUDO.</t>
  </si>
  <si>
    <t xml:space="preserve">MONTAJE FÍSICO Y CONEXIÓN ELÉCTRICA DE CELDAS DE MT PLANTA ÓSMOSIS INVERSA, BBA-M721-01-01, ACOMETIDA DE 3Ø, 400A, 13,2KV, 14KA. 5 SECCIONES: 1 ACOMETIDA CON PROTECCIÓN Y MEDICIÓN,
INCLUYE: PRUEBAS VLF A CABLES DE POTENCIA , SUMINISTRO E INSTALACION DE ACCESORIOS DE CONEXION EN MT, MANIOBRAS, MONTAJE FÍSICO Y CONEXIONADO ELÉCTRICO DE LAS CELDAS DE MT
°ALIMENTADOR PRINCIPAL EN MT, 3Ø (1X250AWG C/U) + 1T (1X2AWG), FASES EN COBRE, 15KV, XLPE, 60M+20%, DESDE LA BBA-M720.
</t>
  </si>
  <si>
    <t xml:space="preserve">MONTAJE FÍSICO Y CONEXIÓN ELÉCTRICO, BARRA A DE UN TRANSFORMADOR BFT-M721-01-01, 3000KVA, 13,2/0.480KVA, ONAN.
INCLUYE: PRUEBAS VLF A CABLES DE POTENCIA Y PRUEBAS A TR, MANIOBRAS, MONTAJE FÍSICO Y CONEXIONADO ELÉCTRICO DE LOS TRANSFORMADORES ELÉCTRICOS DE MT/BT EN SU LADO DE BT EN 13.2KV.
°PARA MANIOBRAS, PESO NETO REPORTADO: 8,305 KG.
CANALIZACIÓN TERMINADA COMO TRINCHERA. SOLO SALIDAS A PREPARAR.
°MT A PRIMARIOS, 3Ø (1X3/0AWG C/U) + 1T (1X6AWG), FASES EN COBRE, 15KV, XLPE, 66M+20%, PARA EL TRANSFORMADOR BFT-M721-01-01.
</t>
  </si>
  <si>
    <t>MONTAJE Y CONEXIONADO ELÉCTRICO BARRA B DE UN TRANSFORMADOR BFT-M721-01-02, 3000KVA, 13,200/480VCA, ONAN, 3 FASES+1 TIERRA. INCLUYE: PRUEBAS VLF A CABLES DE POTENCIA Y PRUEBAS A TR, SUMINISTRO E INSTALACION DE ACCESORIOS DE CONEXION EN MT, MANIOBRAS, MONTAJE FÍSICO Y CONEXIONADO ELÉCTRICO DE LOS TRANSFORMADORES ELÉCTRICOS DE MT/BT EN SU LADO DE BT EN 13.2KV.
MT A PRIMARIOS, 3Ø (1X3/0AWG C/U) + 1T (1X6AWG), FASES EN COBRE, 15KV, XLPE, 66M+20%, PARA EL TRANSFORMADOR</t>
  </si>
  <si>
    <t>MONTAJE Y CONEXIONADO ELÉCTRICO BARRA A DE UN TRANSFORMADOR BFT-M721-01-03, 3000KVA, 13,200/480VCA, ONAN, 3 FASES+1 TIERRA. INCLUYE: PRUEBAS VLF A CABLES DE POTENCIA Y PRUEBAS A TR, SUMINISTRO E INSTALACION DE ACCESORIOS DE CONEXION EN MT, MANIOBRAS, MONTAJE FÍSICO Y CONEXIONADO ELÉCTRICO DE LOS TRANSFORMADORES ELÉCTRICOS DE MT/BT EN SU LADO DE BT EN 13.2KV.
MT A PRIMARIOS, 3Ø (1X3/0AWG C/U) + 1T (1X6AWG), FASES EN COBRE, 15KV, XLPE, 66M+20%, PARA EL TRANSFORMADOR</t>
  </si>
  <si>
    <t>MONTAJE Y CONEXIONADO ELÉCTRICO BARRA B DE UN TRANSFORMADOR BFT-M721-01-04, 3000KVA, 13,200/480VCA, ONAN, 3 FASES+1 TIERRA. INCLUYE: PRUEBAS VLF A CABLES DE POTENCIA Y PRUEBAS A TR, SUMINISTRO E INSTALACION DE ACCESORIOS DE CONEXION EN MT, MANIOBRAS, MONTAJE FÍSICO Y CONEXIONADO ELÉCTRICO DE LOS TRANSFORMADORES ELÉCTRICOS DE MT/BT EN SU LADO DE BT EN 13.2KV.
MT A PRIMARIOS, 3Ø (1X3/0AWG C/U) + 1T (1X6AWG), FASES EN COBRE, 15KV, XLPE, 66M+20%, PARA EL TRANSFORMADOR</t>
  </si>
  <si>
    <t>CFE SUMINISTRO 1- MEDIA TENSIÓN → EDAM + CÁRCAMO DE BOMBEO</t>
  </si>
  <si>
    <t>CFE SUMINISTRO 2 - MEDIA TENSIÓN → ESTACIÓN DE BOMBEO EB2</t>
  </si>
  <si>
    <t>MONTAJE FÍSICO Y CONEXIONADO ELÉCTRICO DE CELDAS DE MT ESTACIÓN EB2, BBA-M723-01-01, ACOMETIDA DE 3Ø, 400A, 13,200VCA, 10KA. 3 SECCIONES: 1 ACOMETIDA CON PROTECCIÓN Y MEDICIÓN, 1 USUARIO CON SECCIONADOR PARA EL TRANSFORMADOR BFT-M723-01-01, 1 USUARIO CON SECCIONADOR PARA EL TRANSFORMADOR BTF-M723-01-02. LOS DOS TRANSFORMADORES DE 500KVA, 13,200/480VCA, ONAN, 3Ø., INCLUYE: PRUEBAS VLF A CABLES DE POTENCIA, SUMINISTRO E INSTALACION DE ACCESORIOS DE CONEXION EN MT</t>
  </si>
  <si>
    <t>MONTAJE Y CONEXIÓN ELÉCTRICA DE UN TRANSFORMADOR BTF-M723-01-01, 500KVA, 13,200/480VCA, ONAN, 3 FASES+1 TIERRA. INCLUYE: PRUEBAS VLF A CABLES DE POTENCIA Y A TR, SUMINISTRO E INSTALACION DE ACCESORIOS DE CONEXION EN MT</t>
  </si>
  <si>
    <t>MONTAJE Y CONEXIONADO ELÉCTRICO UN TRANSFORMADOR BTF-M723-01-02, 500KVA, 13,200/480VCA, ONAN, 3 FASES+1 TIERRA. . INCLUYE: PRUEBAS VLF A CABLES DE POTENCIA Y A TR, SUMINISTRO E INSTALACION DE ACCESORIOS DE CONEXION EN MT</t>
  </si>
  <si>
    <t>SUMINISTRO E INSTALACIÓN DE CANALIZACIÓN Y CABLEADO POR CHAROLA PARA ALIMENTACIÓN LADO ALTA EN MT, 3X3/0AWG + 1X3AWG, COBRE, 15KV, XLPE, 14M+20%, PARA EL TRANSFORMADOR BFT-M723-01-01.</t>
  </si>
  <si>
    <t>SUMINISTRO E INSTALACIÓN DE CANALIZACIÓN Y CABLEADO POR CHAROLA PARA ALIMENTACIÓN LADO ALTA EN MT, 3X3/0AWG + 1X3AWG, COBRE, 15KV, XLPE, 10M+20%, PARA EL TRANSFORMADOR BFT-M723-01-02.</t>
  </si>
  <si>
    <t>BAJA TENSIÓN (DESPUÉS DE TRANSFORMADORES) → DISTRIBUCIÓN EN EDAM</t>
  </si>
  <si>
    <t>MONTAJE Y CONEXIONADO ELÉCTRICO DE UN SWITCHGEAR PRINCIPAL DE BT DE OSMOSIS, BJE-M721-01-01 ZONA, RO, RACK 01 Y 03 ALTA PRESIÓN, ACOMETIDA DE 3Ø, 480V, 60HZ, IN 4,000A, ICMAX 70KA, DOBLE BARRA CON SECCIONADORES Y SISTEMA DE TRANSFERENCIA. INCLUYE: SUMINISTRO E INSTALACION DE ACCESORIOS DE CONEXION EN BT</t>
  </si>
  <si>
    <t>INSTALACIÓN Y CONEXIONADO DE ELECTRODUCTO (BUSWAY) BARRA A, AÉREO, INTERIOR, COMPLETAMENTE AISLADO, 3Ø, COBRE, 600V, 4,000A, 6M+20%. SALIDA DEL TRANSFORMADOR BFT-M721-01-01 A BARRA A DE BJE-M721-01-01. INCLUYE 4 CODOS EN 90°. SOPORTERIA</t>
  </si>
  <si>
    <t>INSTALACIÓN Y CONEXIONADO DE ELECTRODUCTO (BUSWAY) BARRA B, AÉREO, INTERIOR, COMPLETAMENTE AISLADO, 3Ø, COBRE, 600V, 4,000A, 6M+20%. SALIDA DEL TRANSFORMADOR BFT-M721-01-01 A BARRA B DE BJE-M721-01-01. INCLUYE 4 CODOS EN 90°. SOPORTERIA</t>
  </si>
  <si>
    <t xml:space="preserve">SALIDA DE VOLTAJE DE CADA GRUPO ELECTRÓGENO (BMA-M721-01-01, BMA-M721-01-01B, BMA-M721-01-02, BMA-M721-01-02B).
INSTALACIÓN Y/O MONTAJE FÍSICO DE 4 GENERADORES DE 1650KVA@480VCA/60HZ.
°PREPARACIÓN DEL BUS DE POTENCIA EN BT EN CADA SWITCHGEAR DE INTERCONEXIÓN CON ATS. CFE-GENERADOR. PREPARACIÓN PARA CONECTAR 10 PUNTAS CON ZAPATAS PONCHABLES (CRIMP LUGS) EN CADA FASE X 4 GENERADORES.
°120 CABLES DE FASE Y 4 CABLES DE TIERRA. MARCADOS E IDENTIFICADOS. NEUTROS ATERRIZADOS.
INSTALACIÓN Y/O MONTAJE DE CABLE MONOPOLAR CU, 600V, NEGRO MARCADO-ENCINTADO 3Ø (10-500MCM C/U), 1T (1-400MCM), 98M+20%.
</t>
  </si>
  <si>
    <t>MONTAJE Y CONEXIONADO ELÉCTRICO DE UN SWITCHGEAR PRINCIPAL DE BT DE OSMOSIS, BJE-M721-01-02, ZONA RO, RACK 02 Y 04 ALTA PRESIÓN, ACOMETIDA DE 3Ø, 480V, 60HZ, IN 4,000A, ICMAX 70KA, DOBLE BARRA CON SECCIONADORES Y SISTEMA DE TRANSFERENCIA.  INCLUYE: SUMINISTRO E INSTALACION DE ACCESORIOS DE CONEXION EN BT</t>
  </si>
  <si>
    <t>INSTALACIÓN Y CONEXIONADO DE ELECTRODUCTO (BUSWAY) BARRA A, AÉREO, INTERIOR, COMPLETAMENTE AISLADO, 3Ø, COBRE, 600V, 4,000A, 6M+20%. SALIDA DEL TRANSFORMADOR BFT-M721-01-02 A BARRA A DE BJE-M721-01-01. INCLUYE 4 CODOS EN 90°. SOPORTERIA</t>
  </si>
  <si>
    <t>INSTALACIÓN Y CONEXIONADO DE ELECTRODUCTO (BUSWAY) BARRA B, AÉREO, INTERIOR, COMPLETAMENTE AISLADO, 3Ø, COBRE, 600V, 4,000A, 6M+20%. SALIDA DEL TRANSFORMADOR BFT-M721-01-02 A BARRA B DE BJE-M721-01-01. INCLUYE 4 CODOS EN 90°. SOPORTERIA</t>
  </si>
  <si>
    <t>MONTAJE Y CONEXIONADO ELÉCTRICO DE UN SWITCHGEAR SECUNDARIO MCC BJA-M721-01-01, ZONA RO, RACK 01 Y 03 RECUPERADORES, 3Ø, 480VCA/60HZ, IN 220A, ICMAX 36KA. DOS SECCIONES, DOBLE BARRA CON SECCIONADORES Y SISTEMA DE TRANSFERENCIA. INCLUYE: SUMINISTRO E INSTALACION DE ACCESORIOS DE CONEXION EN BT</t>
  </si>
  <si>
    <t>MONTAJE Y CONEXIONADO ELÉCTRICO DE UN SWITCHGEAR SECUNDARIO MCC BJA-M721-01-02, ZONA RO, RACK 02 Y 04 RECUPERADORES, 3Ø, 480VCA/60HZ, IN 220A, ICMAX 36KA. DOS SECCIONES, DOBLE BARRA CON SECCIONADORES Y SISTEMA DE TRANSFERENCIA.  INCLUYE: SUMINISTRO E INSTALACION DE ACCESORIOS DE CONEXION EN BT</t>
  </si>
  <si>
    <t>MONTAJE Y CONEXIONADO ELÉCTRICO DE UN SWITCHGEAR SECUNDARIO MCC BJA-M721-01-03, ZONA RO, RACK 05 ALTA PRESIÓN Y RECUPERADORES, 3Ø, 480VCA/60HZ, IN 1,600A, ICMAX 70KA. UNA SECCIÓN, SIMPLE BARRA CON SECCIONADORES Y SISTEMA DE TRANSFERENCIA.  INCLUYE: SUMINISTRO E INSTALACION DE ACCESORIOS DE CONEXION EN BT</t>
  </si>
  <si>
    <t>MONTAJE Y CONEXIONADO ELÉCTRICO DE UN SWITCHGEAR SECUNDARIO MCC BJA-M721-01-04, ZONA RO, COMUNES (MCC-4), 3Ø, 480VCA/60HZ, IN 125A, ICMAX 15KA. UNA SECCIÓN, SIMPLE BARRA CON SECCIONADORES Y SISTEMA DE TRANSFERENCIA.  INCLUYE: SUMINISTRO E INSTALACION DE ACCESORIOS DE CONEXION EN BT</t>
  </si>
  <si>
    <t>MONTAJE Y CONEXIONADO ELÉCTRICO DE UN SWITCHGEAR SECUNDARIO MCC BJA-M721-01-05, ZONA RO, COMUNES (MCC-3), 3Ø, 480VCA/60HZ, IN 150A, ICMAX 36KA. DOS SECCIONES, DOBLE BARRA CON SECCIONADORES Y SISTEMA DE TRANSFERENCIA.  INCLUYE: SUMINISTRO E INSTALACION DE ACCESORIOS DE CONEXION EN BT</t>
  </si>
  <si>
    <t>MONTAJE Y CONEXIONADO ELÉCTRICO DE UN SWITCHGEAR SECUNDARIO MCC BJA-M721-01-06, PRETRATAMIENTO Y FANGOS, 3Ø, 480VCA/60HZ, IN 800A, ICMAX 50KA. DOS SECCIONES, DOBLE BARRA CON SECCIONADORES Y SISTEMA DE TRANSFERENCIA.  INCLUYE: SUMINISTRO E INSTALACION DE ACCESORIOS DE CONEXION EN BT</t>
  </si>
  <si>
    <t>SUMINISTRO E INSTALACIÓN DE CANALIZACIÓN Y CABLEADO POR CHAROLA PARA ACOMETIDA, 3X500MCM + 1X500MCM + 1X4AWG, COBRE, 600V, THHW-LS, 20M+20%, PARA EL MCC BJA-M721-01-01. DE BARRA A.</t>
  </si>
  <si>
    <t>SUMINISTRO E INSTALACIÓN DE CANALIZACIÓN Y CABLEADO POR CHAROLA PARA ACOMETIDA, 3X500MCM + 1X500MCM + 1X4AWG, COBRE, 600V, THHW-LS, 20M+20%, PARA EL MCC BJA-M721-01-01. DE BARRA B.</t>
  </si>
  <si>
    <t>SUMINISTRO E INSTALACIÓN DE CANALIZACIÓN Y CABLEADO POR CHAROLA PARA ACOMETIDA, 3X500MCM + 1X500MCM + 1X4AWG, COBRE, 600V, THHW-LS, 35M+20%, PARA EL MCC BJA-M721-01-02. DE BARRA A.</t>
  </si>
  <si>
    <t>INSTALACIÓN DE CANALIZACIÓN Y CABLEADO POR CHAROLA PARA ACOMETIDA, 3X500MCM + 1X500MCM + 1X4AWG, COBRE, 600V, THHW-LS, 35M+20%, PARA EL MCC BJA-M721-01-02. DE BARRA B.</t>
  </si>
  <si>
    <t>INSTALACIÓN DE CANALIZACIÓN Y CABLEADO POR CHAROLA PARA ACOMETIDA, 3(3X500)MCM + 3X500 + 1X4/0AWG, COBRE, 600V, THHW-LS, 20M+20%, PARA EL MCC BJA-M721-01-03. DE BARRA A.</t>
  </si>
  <si>
    <t>INSTALACIÓN DE CANALIZACIÓN Y CABLEADO POR CHAROLA PARA ACOMETIDA, 3(3X500)MCM + 3X500 + 1X4/0AWG, COBRE, 600V, THHW-LS, 10M+20%, PARA EL MCC BJA-M721-01-03. DE BARRA B.</t>
  </si>
  <si>
    <t>INSTALACIÓN DE CANALIZACIÓN Y CABLEADO POR CHAROLA PARA ACOMETIDA, 3X2AWG + 1X2AWG + 1X6AWG, COBRE, 600V, THHW-LS, 15M+20%, PARA EL MCC BJA-M721-01-04. DE BARRA A.</t>
  </si>
  <si>
    <t>INSTALACIÓN DE CANALIZACIÓN Y CABLEADO POR CHAROLA PARA ACOMETIDA, 3X2AWG + 1X2AWG + 1X6AWG, COBRE, 600V, THHW-LS, 15M+20%, PARA EL MCC BJA-M721-01-04. DE BARRA B.</t>
  </si>
  <si>
    <t>INSTALACIÓN DE CANALIZACIÓN Y CABLEADO POR CHAROLA PARA ACOMETIDA, 3X400MCM + 1X400MCM + 1X6AWG, COBRE, 600V, THHW-LS, 35M+20%, PARA EL MCC BJA-M721-01-05. DE BARRA A.</t>
  </si>
  <si>
    <t>INSTALACIÓN DE CANALIZACIÓN Y CABLEADO POR CHAROLA PARA ACOMETIDA, 3X400MCM + 1X400MCM + 1X6AWG, COBRE, 600V, THHW-LS, 15M+20%, PARA EL MCC BJA-M721-01-05. DE BARRA B.</t>
  </si>
  <si>
    <t>INSTALACIÓN DE CANALIZACIÓN Y CABLEADO POR DUCTO ENTERRADO (CUALQUIER PROFUNDIDAD) ACOMETIDA, 3(5X350)MCM + 5X350MCM + 1X1/0AWG, COBRE, 600V, THHW-LS, 55M+20%, PARA EL MCC BJA-M721-01-06. DE BARRA A.</t>
  </si>
  <si>
    <t>INSTALACIÓN DE CANALIZACIÓN Y CABLEADO POR DUCTO ENTERRADO ACOMETIDA, 3(5X350)MCM + 5X350MCM + 1X1/0AWG, COBRE, 600V, THHW-LS, 80M+20%, PARA EL MCC BJA-M721-01-06. DE BARRA B.</t>
  </si>
  <si>
    <t>MONTAJE Y CONEXIONADO ELÉCTRICO DE UN TRANSFORMADOR SSAA, BTF-M721-02-01, 225KVA, 480/220-127VCA, AN, 3Ø. 900KG. CONFIRMAR.</t>
  </si>
  <si>
    <t>INSTALACIÓN DE CANALIZACIÓN Y CABLEADO POR CHAROLA PARA ALIMENTACIÓN LADO ALTA, 3X350MCM + 1X350MCM + 1X2AWG, COBRE, 600V, THHW-LS, 20M+20%, PARA EL TRANSFORMADOR BFT-M721-02-01.</t>
  </si>
  <si>
    <t xml:space="preserve">°ALIMENTACIÓN CON VOLTAJE AUXILIAR DE 220VCA/3Ø A CADA TRANSFORMADOR. 4 MC EN TOTAL.
INSTALACIÓN Y/O MONTAJE DE CABLE MULTICONDUCTOR CU, 4X(5X10AWG), 600V, IDENTIFICADOS, 3Ø + 1N + 1T, 66M+20%.
</t>
  </si>
  <si>
    <t xml:space="preserve">°ALIMENTACIÓN CON VOLTAJE AUXILIAR DE 220VCA/3Ø A CADA GENERADOR.
INSTALACIÓN Y/O MONTAJE DE CABLE MULTICONDUCTOR CU, 4X(5X10AWG), 600V, IDENTIFICADOS, 3Ø + 1N + 1T, 98M+20%.
</t>
  </si>
  <si>
    <t xml:space="preserve">°ALIMENTACIÓN CON VOLTAJE AUXILIAR DE 220VCA/3Ø PARA LA SUBESTACIÓN DE ACOMETIDA BBA-M720-01-01.
INSTALACIÓN Y/O MONTAJE DE CABLE MULTICONDUCTOR CU, 1X(5X10AWG), 600V, IDENTIFICADOS, 3Ø + 1N + 1T, 60M+20%.
</t>
  </si>
  <si>
    <t xml:space="preserve">°ALIMENTACIÓN CON VOLTAJE AUXILIAR DE 220VCA/3Ø PARA LAS CELDAS DE MT BBA-M721-01-01.
INSTALACIÓN Y/O MONTAJE DE CABLE MULTICONDUCTOR CU, 1X(5X10AWG), 600V, IDENTIFICADOS, 3Ø + 1N + 1T, 60M+20%.
</t>
  </si>
  <si>
    <t>ZBAJA TENSIÓN (DESPUÉS DE TRANSFORMADORES) → DISTRIBUCIÓN EN ESTACIÓN DE BOMBEO EB2</t>
  </si>
  <si>
    <t>BAJA TENSIÓN (DESPUÉS DE TRANSFORMADORES) → DISTRIBUCIÓN EN ESTACIÓN DE BOMBEO EB2</t>
  </si>
  <si>
    <t>MONTAJE Y CONEXIONADO ELÉCTRICO DE UN SWITCHGEAR PRINCIPAL DE LA ESTACIÓN DE BOMBEO EB2, BJE-M723-01-01, DE 3Ø, 480V, 60HZ, IN 800A, ICMAX 15KA, DOBLE BARRA CON SECCIONADORES Y SISTEMA DE TRANSFERENCIA.  INCLUYE: SUMINISTRO E INSTALACION DE ACCESORIOS DE CONEXION EN BT</t>
  </si>
  <si>
    <t>INSTALACIÓN DE CANALIZACIÓN Y CABLEADO POR CHAROLA PARA ACOMETIDA, 3Ø(2X350)MCM + 1N(2X350)MCM + 1TX1/0AWG, COBRE, 600V, THHW-LS, 15M+20%, PARA EL SWGR-3 BJE-M723-01-01. BARRA A.</t>
  </si>
  <si>
    <t>INSTALACIÓN DE CANALIZACIÓN Y CABLEADO POR CHAROLA PARA ACOMETIDA, 3Ø(2X350)MCM + 1N(2X350)MCM + 1TX1/0AWG, COBRE, 600V, THHW-LS, 18M+20%, PARA EL SWGR-3 BJE-M723-01-01. BARRA B.</t>
  </si>
  <si>
    <t>MONTAJE Y CONEXIONADO ELÉCTRICO, UN GENERADOR ELÉCTRICO DE DIESEL (GRUPO ELECTRÓGENO DE EMERGENCIA), BMA-M723-01-01, 400KVA/310KW~451A, 480VCA/60HZ, 3 Ø+1 N, TANQUE DE 3,000L, EN CONTENEDOR, 9TN (A CONFIRMAR).  INCLUYE: SUMINISTRO E INSTALACION DE ACCESORIOS DE CONEXION EN BT</t>
  </si>
  <si>
    <t>INSTALACIÓN DE CANALIZACIÓN Y CABLEADO POR CHAROLA PARA ACOMETIDA, 3Ø(2X250)MCM + 1N(2X350)MCM + 1T(1/0)AWG, COBRE, 600V, THHW-LS, 18M+20% PARA EL BJE-M723-01-01 DEL GRUPO ELECTRÓGENO BMA-M722-01-01.</t>
  </si>
  <si>
    <t>MONTAJE Y CONEXIONADO ELÉCTRICO DE UN TRANSFORMADOR SSAA, BTF-M723-02-01, 15KVA, 480/220-127VCA, AN, 3Ø  INCLUYE: SUMINISTRO E INSTALACION DE ACCESORIOS DE CONEXION EN BT</t>
  </si>
  <si>
    <t>INSTALACIÓN DE CANALIZACIÓN Y CABLEADO POR CHAROLA PARA ALIMENTACIÓN LADO ALTA, 3X350MCM + 1X350MCM + 1X2AWG, COBRE, 600V, THHW-LS, 20M+20%, PARA EL TRANSFORMADOR BFT-M722-02-01. CONFIRMAR.</t>
  </si>
  <si>
    <t>MONTAJE Y CONEXIONADO ELÉCTRICO DE UN SWITCHGEAR SECUNDARIO. CUADRO DE DISTRIBUCIÓN N1 VÁLVULAS MOTORIZADAS EB2. VÁLVULAS EB2N1. 3Ø, 480VCA/60HZ.  INCLUYE: SUMINISTRO E INSTALACION DE ACCESORIOS DE CONEXION EN BT</t>
  </si>
  <si>
    <t>INSTALACIÓN DE CANALIZACIÓN Y CABLEADO POR CHAROLA PARA ACOMETIDA, 3X10AWG + 1X10AWG + 1X12AWG, COBRE, 600V, THHW-LS, 12M+20%, PARA EL EB2N1.</t>
  </si>
  <si>
    <t>MONTAJE Y CONEXIONADO ELÉCTRICO DE UN SWITCHGEAR SECUNDARIO. CUADRO DE DISTRIBUCIÓN N2 VÁLVULAS MOTORIZADAS EB2. VÁLVULAS EB2N2. 3Ø, 480VCA/60HZ.  INCLUYE: SUMINISTRO E INSTALACION DE ACCESORIOS DE CONEXION EN BT</t>
  </si>
  <si>
    <t>INSTALACIÓN DE CANALIZACIÓN Y CABLEADO POR CHAROLA PARA ACOMETIDA, 3X10AWG + 1X10AWG + 1X12AWG, COBRE, 600V, THHW-LS, 37M+20%, PARA EL EB2N2.</t>
  </si>
  <si>
    <t xml:space="preserve">°ALIMENTACIÓN CON VOLTAJE AUXILIAR DE 220VCA/3Ø A CADA TRANSFORMADOR. 2 MC EN TOTAL.
INSTALACIÓN Y/O MONTAJE DE CABLE MULTICONDUCTOR CU, 4X(5X10AWG), 600V, IDENTIFICADOS, 3Ø + 1N + 1T, 22M+20%.
</t>
  </si>
  <si>
    <t xml:space="preserve">ALIMENTACIÓN CON VOLTAJE AUXILIAR DE 220VCA/3Ø PARA LA SUBESTACIÓN DE ACOMETIDA BBA-M723-01-01.
INSTALACIÓN Y/O MONTAJE DE CABLE MULTICONDUCTOR CU, 1X(5X10AWG), 600V, IDENTIFICADOS, 3Ø + 1N + 1T, 30M+20%.
</t>
  </si>
  <si>
    <t>ATERRIZADOS EN TODOS LOS SITIOS. SOLO SALAS O CUARTOS ELÉCTRICOS.</t>
  </si>
  <si>
    <t>INSTALACIÓN DE CONDUCTOR DE PUESTA A TIERRA DE COBRE DESNUDO CABLEADO CONCÉNTRICO, SEMIDURO #2/0 AWG (PUNTAS PREPARADAS) Y UNIÓN DE CADA UNO DE LOS GABINETES, CELDAS, TABLEROS, CCMS Y SUS BARRAS. TODO INSTALADO, DERIVADOS Y CONEXIONADOS POR ZAPATAS MECÁNICAS ESPECIALES Y FIJADO EXTERIOR.</t>
  </si>
  <si>
    <t>SISTEMA DE PARARRAYOS EN TODOS LOS SITIOS. SOLO SALAS O CUARTOS ELÉCTRICOS.</t>
  </si>
  <si>
    <t>INSTALACIÓN DE CONDUCTOR PARA EL SISTEMA DE PARARRAYOS, COBRE, HECHO DE PARES Y CABLEADO ENTRE SI, FLEXIBLE #2/0 AWG (PUNTAS PREPARADAS) Y CONEXIÓN DE LOS SISTEMAS. TODO INSTALADO, DERIVADOS Y CONEXIONADOS POR ZAPATAS MECÁNICAS ESPECIALES Y FIJADO EXTERIOR.</t>
  </si>
  <si>
    <t>SUMINISTRO, PREPARACION E INSTALACION DE CANALIZACION AEREA: CHAROLA O BANDEJA ELECTRICA CON TAPA, FONDO, VENTILADO, FABRICADA EN PVC, APTA PARA 40-60°, INGNIFUGA, BAJA EMISION DE GASES Y HUMOS, RESISTENCIA A LA CORROSION POR AGUA DE MAR, INTEMPERIE, UV, HUMEDAD. CUMPLIMIENTO CON NOM-001-SEDE. INCLUYE: TRAMOS RECTOS Y CURVAS, ADAPTADORES, TAPAS, ACARREOS, MEDICIONES, CORTES, PREPARACIONES, INSTALACIONES, AMARRES DE CABLES Y SUJECIONES A SOPORTES. SEGUN LISTADO DE CANALIZACIONES ELECTRICAS. MX04C1-ID-00-EL-LI-00001. 1,750m DE LONGITUD EN VARIAS SECCIONES</t>
  </si>
  <si>
    <t>HABILITADO DE PASO DE MURO, LOSAS Y SELLADOS POR MEDIO DE POLIURETANO EXPNDIBLE CON RETARDANTE DE FUEGO, CORTES, LIJADOS. COLOCAR MEMBRANA CON SISTEMA IMPERMEABILIZANTE COLOR BLANCO. NO USO YESO. SALIDAS DE CHAROLA DE LOS CUARTOS ELECTRICOS A CAMPO. 650x150mm DE SECCION TRANSVERSAL</t>
  </si>
  <si>
    <t>HABILITADO Y MONTAJE DE SOPORTERIA METALICA GENERAL, CONSIDERADO VARIAS CAMAS DE ACUERDO A LOS SERVICIOS EN EL PISO TECNICO Y LOS RECORRIDOS EN LAS AREAS. USO DE ELECTRODO REVESTIDO (SMAW) EN SOPORTERIA DE PROCESO O COLUMNAS O ESTRUCTURA CIVIL. ACABADOS ANTICORROSIVOS GALVANIZADOS EN CALIENTE HDG O HACIA C5M POR MEDIO DE RECUBRIMIENTOS Y FIJACIONES POR TAQUETES EXPANSIVOS CON ACABADOS HDG O M4. REPARACION DE DAÑOS DERIVADOS DEL TRABAJO. FIJACIONES DE CHAROLA Y TUBERIA DE LAS CANALIZACIONES</t>
  </si>
  <si>
    <t>SUMINISTRO, PREPARACION E INSTALACION DE TUBERIA TERMPLASTICA CONDUIT, PVC FLEXIBLE, INFLAMABLE, RANGO DE TEMPERATURA DE -10°C A 65°C, RESITENCIA A LA INTEMPERIE, USADA CON CONECTORES HERMÉMITCOS "LIQUIDTIGHT". NO SE HACEN QUIEBES, NO SE UTILIZAN CAJAS DE CONEXIONES, O CODOS O CONDULETS (POR UTILIZAR EL SISTEMA VENTILADO DE "CABLES VISTOS") . SOLO TRAMOS RECTOS. ACARREOS, MEDICIONES, CORTES, REBABEADO, PREPARACIONES, INSTALACION Y SUJECIONES A SOPORTES. SEGUN LISTADO DE CANALIZACIONES ELECTRICAS. MX04C1-ID-00-EL-LI-00001, CONSIDERANDO 8m DE TUBERIA. SUJECION Y REMATE FINAL A CAJAS DE CONEXION POR MEDIO DE CONECTORES DE GLANDULAS IMPERMEABLES.</t>
  </si>
  <si>
    <r>
      <t>INSTALACION DE TABLEROS NEUMATICOS Y CABLEADO, PARA PANELES NEUMATICOS PARA VALVULAS NEUMATICAS. INCLUYE: ALIMENTACION AUXILIAR DE 127VCA/60Hz/5A REG+RES A CADA TABLERO. CABLEADO CON CONDUCTOR THHW, 1</t>
    </r>
    <r>
      <rPr>
        <sz val="11"/>
        <color theme="1"/>
        <rFont val="Calibri"/>
        <family val="2"/>
      </rPr>
      <t>Ѳ</t>
    </r>
    <r>
      <rPr>
        <sz val="10"/>
        <color theme="1"/>
        <rFont val="Calibri"/>
        <family val="2"/>
      </rPr>
      <t>-1Nx12AWG C/U Y 1T-14AWG. 65 m DE LONGITUD SIN CORTES, MONTAJE FISICO EN PEDESTAL METALICO SOLDADO, ANCLADO Y CON ACABADO PARA C5M.</t>
    </r>
  </si>
  <si>
    <r>
      <t>INSTALACION Y/O MONTAJE DE CABLE DESDE ALIMENTACION, SEGÚN UNIFILAR MX04C1-ID-00-EL-DU-00001-01, A 220VCA, 3</t>
    </r>
    <r>
      <rPr>
        <sz val="10"/>
        <color theme="1"/>
        <rFont val="Calibri"/>
        <family val="2"/>
      </rPr>
      <t>Ө, UPS´s, FUENTES CONTINUAS DE CCM´s, ALIMENTACION AUXILIARES. TODO PARA LA PARTE DE OSMOSIS, FILTRACION, ADMINISTRACION, EB2. 220 Y 127VCA. ACTUALIZACION. EL NUMERO TOTAL DE UPS´s Y FUENTES DE 110VCC SON:</t>
    </r>
    <r>
      <rPr>
        <sz val="10"/>
        <color theme="1"/>
        <rFont val="Calibri"/>
        <family val="2"/>
        <scheme val="minor"/>
      </rPr>
      <t xml:space="preserve">                                                          1  RTDW 220V/40A- 110 Vcc. CABLEADO CON MULTICONDUCTOR MC THHW, 2x(5-12AWG), 85 m DE LONGITUD SIN CORTES.                                                                                                                                                                                   2 RTDW 220V/15A. 110 Vcc CABLEADO CON MULTICONDUCTOR MC THHW, 2x(5-12AWG), 85m DE LONGITUD SIN CORTES.                                                                                                                                                                                                                           1 NO BREAK ETP COMPACT 1,5 KVA. CABLEADO CON MUNTICONDUCTOR MC THHW, 5-12 AWG, 65m DE LONGITUD SIN CORTES.                                                                                                                                                                                                                   3 NO BREAK ETP COMPACT 8KVA + BANCO DE BATERIAS. CABLEADO CON MULTICONDUCTOR MC THHW, 3X(5-8 AWG), 70m DE LONGITUD SIN CORTES.                                                                                                                                                             1 NO BREAK ETP COMPACT 18 KVA + BANCO DE BATERIAS. CABLEADO CON CONDUCTOR THHW, 3</t>
    </r>
    <r>
      <rPr>
        <sz val="10"/>
        <color theme="1"/>
        <rFont val="Calibri"/>
        <family val="2"/>
      </rPr>
      <t>Ѳ</t>
    </r>
    <r>
      <rPr>
        <sz val="10"/>
        <color theme="1"/>
        <rFont val="Calibri"/>
        <family val="2"/>
        <scheme val="minor"/>
      </rPr>
      <t>-1/0 AWG + 1x4AWG, 65m DE LONGITUD SIN CORTES.</t>
    </r>
  </si>
  <si>
    <t>UN TABLERO DE CONTROL PARA EL PUENTE GRÚA DEL ÁREA DE FILTROS. INCLUYE: ALIMENTACIÓN PRINCIPAL DE FUERZA DE 460VCA/60HZ/2.65KW Y 127VCA/15A. INTERCONEXIÓN DE MOTORES Y BOTONERAS. °MONTAJE FÍSICO EN PEDESTAL METÁLICO SOLDADO, ANCLADO Y CON ACABADO PARA C5M.</t>
  </si>
  <si>
    <t>BOMBA RETRO LAVADO DESDE VFD AL MOTOR. INCLUYE: CABLEADO CON CONDUCTOR XLPE 3Ø-1X1/0AWG C/U Y 1T-8AWG, 45M DE LONGITUD SIN CORTES. SUMINISTRO E INSTALACIÓN DE BOTONERA Y CABLEADO. MONTAJE FÍSICO EN PEDESTAL METÁLICO SOLDADO, ANCLADO Y CON ACABADO PARA C5M.</t>
  </si>
  <si>
    <t>1</t>
  </si>
  <si>
    <t>2</t>
  </si>
  <si>
    <t>3</t>
  </si>
  <si>
    <t>4</t>
  </si>
  <si>
    <t>5</t>
  </si>
  <si>
    <t>6</t>
  </si>
  <si>
    <t>7</t>
  </si>
  <si>
    <t>8</t>
  </si>
  <si>
    <t>9</t>
  </si>
  <si>
    <t>10</t>
  </si>
  <si>
    <t>11</t>
  </si>
  <si>
    <t>SOPLANTE DE LAVADO DE FILTROS, DESDE SS AL MOTOR. INCLUYE: CABLEADO CON CONDUCTOR THHW, 3Ø-2X1/0AWG C/U Y 1T- 6AWG, 43M DE LONGITUD SIN CORTES. SUMINISTRO E INSTALACIÓN DE BOTONERA Y CABLEADO. MONTAJE FÍSICO EN PEDESTAL METÁLICO SOLDADO, ANCLADO Y CON ACABADO PARA C5M.</t>
  </si>
  <si>
    <t>SOPLANTE DE LAVADO DE FILTROS, DESDE SS AL MOTOR. INCLUYE: °CABLEADO CON CONDUCTOR THHW, 3Ø-2X1/0AWG C/U Y 1T- 6AWG, 43M DE LONGITUD SIN CORTES. °SUMINISTRO E INSTALACIÓN DE BOTONERA Y CABLEADO. °MONTAJE FÍSICO EN PEDESTAL METÁLICO SOLDADO, ANCLADO Y CON ACABADO PARA C5M.</t>
  </si>
  <si>
    <t>12</t>
  </si>
  <si>
    <t>TABLERO PRINCIPAL METABISULFITO SÓDICO. DESCARGADOR DE BIG-BAGS, IZAJE, PUENTE. PREPARACIÓN Y DOSIFICACIÓN. INCLUYE: ALIMENTACIÓN PRINCIPAL DE FUERZA DE 460VCA/60HZ/3KW. CABLEADO CON CONDUCTOR THHW, 3Ø- X12AWG C/U Y 1T-14AWG, 71M DE LONGITUD SIN CORTES. ALIMENTACIÓN AUXILIAR DE 127VCA/60HZ//5A AL TABLERO PRINCIPAL. CABLEADO CON CONDUCTOR THHW, 1Ø- 1NX12AWG C/U Y 1T-14AWG, 71M DE LONGITUD SIN CORTES. INTERCONEXIÓN DE MOTORES Y BOTONERAS. AGITADOR VERTICAL, DOSIFICADOR VOLUMÉTRICO, AGITADOR DOSIFICADOR.</t>
  </si>
  <si>
    <t>13</t>
  </si>
  <si>
    <t>TABLERO PRINCIPAL METABISULFITO SÓDICO. DESCARGADOR DE BIG-BAGS, IZAJE, PUENTE. PREPARACIÓN Y DOSIFICACIÓN. INCLUYE: ALIMENTACIÓN PRINCIPAL DE FUERZA DE 460VCA/60HZ/3KW. CABLEADO CON CONDUCTOR THHW, 3Ø- 1X12AWG C/U Y 1T-14AWG, 71M DE LONGITUD SIN CORTES. ALIMENTACIÓN AUXILIAR DE 127VCA/60HZ//5A AL TABLERO PRINCIPAL. CABLEADO CON CONDUCTOR THHW, 1Ø- 1NX12AWG C/U Y 1T-14AWG, 71M DE LONGITUD SIN CORTES. INTERCONEXIÓN DE MOTORES Y BOTONERAS. AGITADOR VERTICAL, DOSIFICADOR VOLUMÉTRICO, AGITADOR DOSIFICADOR. ALIMENTACIÓN PRINCIPAL DE SERVICIOS CON CABLES THHW 3Ø-1/12AWG C/U Y 1T-14AWG. INTERCONEXIÓN DE SERVICIOS, BOTONERAS.</t>
  </si>
  <si>
    <t>14</t>
  </si>
  <si>
    <t>15</t>
  </si>
  <si>
    <t>BOMBA DE ALTA PRESIÓN DE VFD AL MOTOR. INCLUYE: CABLEADO CON CONDUCTOR XLPE 3Ø- 2X250 MCM C/U Y 1T-2AWG, 62M DE LONGITUD SIN CORTES. SUMINISTRO E INSTALACIÓN DE BOTONERA Y CABLEADO. MONTAJE FÍSICO EN PEDESTAL METÁLICO SOLDADO, ANCLADO Y CON ACABADO PARA C5M.</t>
  </si>
  <si>
    <t>16</t>
  </si>
  <si>
    <t>BOMBA DE ALTA PRESIÓN. IGUAL A LA PARTIDA ANTERIOR.</t>
  </si>
  <si>
    <t>BOMBA DE ALTA PRESIÓN. IGUAL A LA PARTIDA ANTERIOR. IGUAL A LA PARTIDA ANTERIOR.</t>
  </si>
  <si>
    <t>17</t>
  </si>
  <si>
    <t>18</t>
  </si>
  <si>
    <t>RECUPERADOR DE ENERGÍA (ERD) DE VFD AL MOTOR. INCLUYE: CABLEADO CON CONDUCTOR XLPE 3Ø-1X6AWG C/U Y 1T- 10AWG, 46M DE LONGITUD SIN CORTES SUMINISTRO E INSTALACIÓN DE BOTONERA Y CABLEADO. MONTAJE FÍSICO EN PEDESTAL METÁLICO SOLDADO, ANCLADO Y CON ACABADO PARA C5M.</t>
  </si>
  <si>
    <t>19</t>
  </si>
  <si>
    <t>RECUPERADOR DE ENERGÍA (ERD). IGUAL A LA PARTIDA ANTERIOR.</t>
  </si>
  <si>
    <t>20</t>
  </si>
  <si>
    <t>21</t>
  </si>
  <si>
    <t>BOMBA DE ALTA PRESIÓN DE VFD AL MOTOR. INCLUYE: CABLEADO CON CONDUCTOR XLPE 3Ø- 2X250 MCM C/U Y 1T-2AWG, 74M DE LONGITUD SIN CORTES. SUMINISTRO E INSTALACIÓN DE BOTONERA Y CABLEADO. MONTAJE FÍSICO EN PEDESTAL METÁLICO SOLDADO, ANCLADO Y CON ACABADO PARA C5M.</t>
  </si>
  <si>
    <t>22</t>
  </si>
  <si>
    <t>23</t>
  </si>
  <si>
    <t>24</t>
  </si>
  <si>
    <t>25</t>
  </si>
  <si>
    <t>26</t>
  </si>
  <si>
    <t>27</t>
  </si>
  <si>
    <t>28</t>
  </si>
  <si>
    <t>29</t>
  </si>
  <si>
    <t>30</t>
  </si>
  <si>
    <t>31</t>
  </si>
  <si>
    <t>32</t>
  </si>
  <si>
    <t>33</t>
  </si>
  <si>
    <t>34</t>
  </si>
  <si>
    <t>35</t>
  </si>
  <si>
    <t>RECUPERADOR DE ENERGÍA (ERD) DE VFD AL MOTOR. INCLUYE: CABLEADO CON CONDUCTOR XLPE 3Ø-1X6AWG C/U Y 1T- 10AWG, 46M SIN CORTES. SUMINISTRO E INSTALACIÓN DE BOTONERA Y CABLEADO. MONTAJE FÍSICO EN PEDESTAL METÁLICO SOLDADO, ANCLADO Y CON ACABADO PARA C5M.</t>
  </si>
  <si>
    <t>BOMBA DE ALTA PRESIÓN DE VFD AL MOTOR. INCLUYE: CABLEADO CON CONDUCTOR XLPE 3Ø- 2X250 MCM C/U Y 1T-2AWG, 51M DE LONGITUD SIN CORTES. SUMINISTRO E INSTALACIÓN DE BOTONERA Y CABLEADO. MONTAJE FÍSICO EN PEDESTAL METÁLICO SOLDADO, ANCLADO Y CON ACABADO PARA C5M.</t>
  </si>
  <si>
    <t>RECUPERADOR DE ENERGÍA (ERD) DE VFD AL MOTOR. INCLUYE: °CABLEADO CON CONDUCTOR XLPE 3Ø-1X6AWG C/U Y 1T- 10AWG, 47M SIN CORTES. °SUMINISTRO E INSTALACIÓN DE BOTONERA Y CABLEADO. °MONTAJE FÍSICO EN PEDESTAL METÁLICO SOLDADO, ANCLADO Y CON ACABADO PARA C5M.</t>
  </si>
  <si>
    <t>36</t>
  </si>
  <si>
    <t>37</t>
  </si>
  <si>
    <t>38</t>
  </si>
  <si>
    <t>39</t>
  </si>
  <si>
    <t>40</t>
  </si>
  <si>
    <t>41</t>
  </si>
  <si>
    <t>42</t>
  </si>
  <si>
    <t>43</t>
  </si>
  <si>
    <t>44</t>
  </si>
  <si>
    <t>45</t>
  </si>
  <si>
    <t>46</t>
  </si>
  <si>
    <t>47</t>
  </si>
  <si>
    <t>BOMBA DE ALTA PRESIÓN DE VFD AL MOTOR. INCLUYE: CABLEADO CON CONDUCTOR XLPE 3Ø- 2X250MCM C/U Y 1T-2AWG, 63M SIN CORTES. SUMINISTRO E INSTALACIÓN DE BOTONERA Y CABLEADO. MONTAJE FÍSICO EN PEDESTAL METÁLICO SOLDADO, ANCLADO Y CON ACABADO PARA C5M.</t>
  </si>
  <si>
    <t>RECUPERADOR DE ENERGÍA (ERD) DE VFD AL MOTOR. INCLUYE: CABLEADO CON CONDUCTOR XLPE 3Ø-1X6AWG C/U Y 1T- 10AWG, 57M SIN CORTES. SUMINISTRO E INSTALACIÓN DE BOTONERA Y CABLEADO. MONTAJE FÍSICO EN PEDESTAL METÁLICO SOLDADO, ANCLADO Y CON ACABADO PARA C5M.</t>
  </si>
  <si>
    <t>BOMBA DE ALTA PRESIÓN DE VFD AL MOTOR. INCLUYE: CABLEADO CON CONDUCTOR XLPE 3Ø- 2X250MCM C/U Y 1T-2AWG, 56M SIN CORTES. SUMINISTRO E INSTALACIÓN DE BOTONERA Y CABLEADO. MONTAJE FÍSICO EN PEDESTAL METÁLICO SOLDADO, ANCLADO Y CON ACABADO PARA C5M.</t>
  </si>
  <si>
    <t>RECUPERADOR DE ENERGÍA (ERD) DE VFD AL MOTOR. INCLUYE: CABLEADO CON CONDUCTOR XLPE 3Ø-1X6AWG C/U Y 1T- 10AWG, 50M SIN CORTES. SUMINISTRO E INSTALACIÓN DE BOTONERA Y CABLEADO. MONTAJE FÍSICO EN PEDESTAL METÁLICO SOLDADO, ANCLADO Y CON ACABADO PARA C5M.</t>
  </si>
  <si>
    <t>48</t>
  </si>
  <si>
    <t>49</t>
  </si>
  <si>
    <t>50</t>
  </si>
  <si>
    <t>51</t>
  </si>
  <si>
    <t>52</t>
  </si>
  <si>
    <t>53</t>
  </si>
  <si>
    <t>54</t>
  </si>
  <si>
    <t>55</t>
  </si>
  <si>
    <t>56</t>
  </si>
  <si>
    <t>57</t>
  </si>
  <si>
    <t>58</t>
  </si>
  <si>
    <t>59</t>
  </si>
  <si>
    <t>60</t>
  </si>
  <si>
    <t>61</t>
  </si>
  <si>
    <t>62</t>
  </si>
  <si>
    <t>63</t>
  </si>
  <si>
    <t>64</t>
  </si>
  <si>
    <t>65</t>
  </si>
  <si>
    <t>66</t>
  </si>
  <si>
    <t>78</t>
  </si>
  <si>
    <t>79</t>
  </si>
  <si>
    <t>80</t>
  </si>
  <si>
    <t>81</t>
  </si>
  <si>
    <t>82</t>
  </si>
  <si>
    <t>83</t>
  </si>
  <si>
    <t>BOMBA PERISTÁLTICA DEL TANQUE DE MUESTRAS A INCORPORARLO AL EMISARIO TERRESTRE DEL DOL AL MOTOR. INCLUYE: CABLEADO CON MCR THHW 3Ø- 1X12AWG C/U Y 1T-12AWG, 75M SIN CORTES. SUMINISTRO E INSTALACIÓN DE BOTONERA Y CABLEADO. MONTAJE FÍSICO EN PEDESTAL METÁLICO SOLDADO, ANCLADO Y CON ACABADO PARA C5M.</t>
  </si>
  <si>
    <t>AGITADOR VERTICAL DE SS AL MOTOR. INCLUYE: CABLEADO CON CONDUCTOR THHW 3Ø- 1X12AWG C/U Y 1T-14AWG, 63M SIN CORTES. SUMINISTRO E INSTALACIÓN DE BOTONERA Y CABLEADO. MONTAJE FÍSICO EN PEDESTAL METÁLICO SOLDADO, ANCLADO Y CON ACABADO PARA C5M.</t>
  </si>
  <si>
    <t>BOMBA DOSIFICADORA TRASVASE AL CIP DOL AL MOTOR. INCLUYE: CABLEADO CON CONDUCTOR MC THHW 3Ø-1X12CM C/U Y 1T- 12AWG, 47M DE LONGITUD SIN CORTES. SUMINISTRO E INSTALACIÓN DE BOTONERA Y CABLEADO. MONTAJE FÍSICO EN PEDESTAL METÁLICO SOLDADO, ANCLADO Y CON ACABADO PARA C5M.</t>
  </si>
  <si>
    <t>BOMBA DOSIFICADORA TRASVASE AL CIP. IGUAL A LA PARTIDA ANTERIOR.</t>
  </si>
  <si>
    <t>RESISTENCIA DE CALENTAMIENTO. INCLUYE: ALIMENTADOR CON CABLE THHW, 3Ø-1X1/0AWG C/U Y 1T-8AWG, 63M DE LONGITUD SIN CORTES.</t>
  </si>
  <si>
    <t>RESISTENCIA DE CALENTAMIENTO. IGUAL A LA PARTIDA ANTERIOR.</t>
  </si>
  <si>
    <t>BOMBA CIP Y DESPLAZAMIENTO DE VFD AL MOTOR. INCLUYE: CABLEADO CON CONDUCTOR XLPE 3Ø-2X2AWG C/U Y 1T-6AWG, 72M SIN CORTES. SUMINISTRO E INSTALACIÓN DE BOTONERA Y CABLEADO. MONTAJE FÍSICO EN PEDESTAL METÁLICO SOLDADO, ANCLADO Y CON ACABADO PARA C5M.</t>
  </si>
  <si>
    <t>BOMBA CIP Y DESPLAZAMIENTO. IGUAL A LA PARTIDA ANTERIOR.</t>
  </si>
  <si>
    <t>BOMBA NEUTRALIZACIÓN N1 DE VFD AL MOTOR. INCLUYE: CABLEADO CON CONDUCTOR CON CABLE VFD 3Ø-1X12AWG C/U Y 1T-12AWG, 64M DE LONGITUD SIN CORTES. SUMINISTRO E INSTALACIÓN DE BOTONERA Y CABLEADO. MONTAJE FÍSICO EN PEDESTAL METÁLICO SOLDADO, ANCLADO Y CON ACABADO PARA C5M.</t>
  </si>
  <si>
    <t>BOMBA NEUTRALIZACIÓN N2. IGUAL A LA PARTIDA ANTERIOR.</t>
  </si>
  <si>
    <t>BOMBA SUMERGIBLE DE DOL AL MOTOR. INCLUYE: CABLEADO CON MC THHW 4X12AWG C/U, 70M SIN CORTES. SUMINISTRO E INSTALACIÓN DE BOTONERA Y CABLEADO. MONTAJE FÍSICO EN PEDESTAL METÁLICO SOLDADO, ANCLADO Y CON ACABADO PARA C5M.</t>
  </si>
  <si>
    <t>BOMBA SUMERGIBLE. IGUAL A LA PARTIDA ANTERIOR.</t>
  </si>
  <si>
    <t>SISTEMA DE ALMACENAMIENTO Y DOSIFICACIÓN DE CO2 (VP) (R). INCLUYE: ALIMENTACIÓN PRINCIPAL DE FUERZA DE 460VCA/60HZ. CABLEADO CON CONDUCTOR THHW, 3Ø-1X1/0AWG C/U Y 1T-2AWG, 80M DE LONGITUD SIN CORTES. ALIMENTACIÓN AUXILIAR DE SERVICIOS DE 127VCA/60HZ//25A AL TABLERO PRINCIPAL. CABLEADO CON CONDUCTOR THHW, 1Ø- 1NX8AWG C/U Y 1T-10AWG, 80M DE LONGITUD SIN CORTES. INTERCONEXIÓN DE MOTORES Y BOTONERAS.</t>
  </si>
  <si>
    <t>BOMBA CO2 DE VFD AL MOTOR. INCLUYE: CABLEADO CON CONDUCTOR CON CABLE VFD 3Ø- 3X8AWG C/U Y 1T-10AWG, 44M DE LONGITUD SIN CORTES. SUMINISTRO E INSTALACIÓN DE BOTONERA Y CABLEADO. MONTAJE FÍSICO EN PEDESTAL METÁLICO SOLDADO, ANCLADO Y CON ACABADO PARA C5M.</t>
  </si>
  <si>
    <t>BOMBA CO2. IGUAL A LA PARTIDA ANTERIOR.</t>
  </si>
  <si>
    <t>SISTEMA DE PREPARACIÓN DE CAL Y DOSIFICACIÓN (R). INCLUYE: ALIMENTACIÓN PRINCIPAL DE FUERZA DE 460VCA/60HZ. CABLEADO CON MC THHW, 4X8AWG C/U, 80M DE LONGITUD SIN CORTES. ALIMENTACIÓN AUXILIAR DE SERVICIOS DE 127VCA/60HZ//25A AL TABLERO PRINCIPAL. CABLEADO CON MC THHW, 3X8AWG, 80M DE LONGITUD SIN CORTES. INTERCONEXIÓN DE MOTORES Y BOTONERAS.</t>
  </si>
  <si>
    <t>COMPRESOR CENTRÍFUGO. ALIMENTACIÓN PRINCIPAL DE FUERZA DE 460VCA/60HZ. CABLEADO CON MC THHW, 4X4AWG C/U, 80M DE LONGITUD SIN CORTES. ALIMENTACIÓN AUXILIAR DE SERVICIOS DE 127VCA/60HZ/5A AL TABLERO PRINCIPAL. CABLEADO CON MC THHW, 3X12AWG, 80M DE LONGITUD SIN CORTES.</t>
  </si>
  <si>
    <t>84</t>
  </si>
  <si>
    <t>85</t>
  </si>
  <si>
    <t>86</t>
  </si>
  <si>
    <t>87</t>
  </si>
  <si>
    <t>88</t>
  </si>
  <si>
    <t>89</t>
  </si>
  <si>
    <t>90</t>
  </si>
  <si>
    <t>91</t>
  </si>
  <si>
    <t>92</t>
  </si>
  <si>
    <t>93</t>
  </si>
  <si>
    <t>94</t>
  </si>
  <si>
    <t>COMPRESOR CENTRÍFUGO. IGUAL A LA PARTIDA ANTERIOR.</t>
  </si>
  <si>
    <t xml:space="preserve">
SECADOR FRIGORÍFICO. ALIMENTACIÓN PRINCIPAL DE FUERZA DE 460VCA/60HZ. CABLEADO CON MC THHW, 4X12AWG C/U, 80M DE LONGITUD SIN CORTES. ALIMENTACIÓN AUXILIAR DE SERVICIOS DE 127VCA/60HZ/5A AL TABLERO PRINCIPAL. CABLEADO CON MC THHW, 3X12AWG, 80M DE LONGITUD SIN CORTES.</t>
  </si>
  <si>
    <t>SECADOR FRIGORÍFICO. IGUAL A LA PARTIDA ANTERIOR.</t>
  </si>
  <si>
    <t>BOMBA DE CARGA DE HIPOCLORITO DE DOL AL MOTOR. INCLUYE: CABLEADO CON MC 4X10AWG C/U, 70M DE LONGITUD SIN CORTES. SUMINISTRO E INSTALACIÓN DE BOTONERA Y CABLEADO. MONTAJE FÍSICO EN PEDESTAL METÁLICO SOLDADO, ANCLADO Y CON ACABADO PARA C5M.</t>
  </si>
  <si>
    <t>SKID DOSIFICACIÓN HIPOCLORITO DE CB AL SKID. INCLUYE: CABLEADO CON MC 3Ø+1T- 1X12AWG C/U, 65M DE LONGITUD SIN CORTES.</t>
  </si>
  <si>
    <t>BOMBA DE CARGA DE CLORURO FÉRRICO DE DOL AL MOTOR. INCLUYE: CABLEADO CON MC 4X12AWG C/U, 65M DE LONGITUD SIN CORTES. SUMINISTRO E INSTALACIÓN DE BOTONERA Y CABLEADO. MONTAJE FÍSICO EN PEDESTAL METÁLICO SOLDADO, ANCLADO Y CON ACABADO PARA C5M.</t>
  </si>
  <si>
    <t>SKID DOSIFICACIÓN CLORURO FÉRRICO DE CB AL SKID. INCLUYE: CABLEADO CON MC 3Ø+1T-1X12AWG C/U, 65M DE LONGITUD SIN CORTES.</t>
  </si>
  <si>
    <t>SKID DOSIFICACIÓN ANTIINCRUSTANTE DE CB AL SKID. INCLUYE: CABLEADO CON MC 3Ø+1T-1X12AWG C/U, 65M DE LONGITUD SIN CORTES.</t>
  </si>
  <si>
    <t>BOMBA DE CARGA DE ÁCIDO SULFÚRICO. DESALADORA. TANQUE. ACTUALIZACIÓN: MC 3Øx12AWG+1Tx12AWG, 65m de longitud sin cortes. Instalación de botonera y cableado. ACTUALIZACIÓN Cableado con MC 6x16AWG, 65m de longitud sin cortes. Montaje físico en pedestal metálico soldado, anclado y con acabado para C5M.</t>
  </si>
  <si>
    <t>SKID DOSIFICACIÓN ÁCIDO SULFÚRICO DE CB AL SKID. INCLUYE: CABLEADO CON MC 3Ø+1T-1X12AWG C/U, 65M DE LONGITUD SIN CORTES.</t>
  </si>
  <si>
    <t>SKID DOSIFICACIÓN ÁCIDO SULFÚRICO DE CB AL SKID. INCLUYE: °CABLEADO CON MC 3Ø+1T-1X12AWG C/U, 65M DE LONGITUD SIN CORTES.</t>
  </si>
  <si>
    <t>SKID DOSIFICACIÓN ÁCIDO SULFÚRICO DE CB AL SKID. INCLUYE: CABLEADO CON MC 3Ø+1T-1X12AWG C/U, 65M DE LONGITUD SIN CORTES</t>
  </si>
  <si>
    <t>95</t>
  </si>
  <si>
    <t>96</t>
  </si>
  <si>
    <t>97</t>
  </si>
  <si>
    <t>98</t>
  </si>
  <si>
    <t>99</t>
  </si>
  <si>
    <t>100</t>
  </si>
  <si>
    <t>101</t>
  </si>
  <si>
    <t>102</t>
  </si>
  <si>
    <t>103</t>
  </si>
  <si>
    <t>104</t>
  </si>
  <si>
    <t>BOMBA DE CARGA HIDRÓXIDO SÓDICO. DESALADORA. TANQUE. ACTUALIZACIÓN: MC 3ØX12AWG+1TX12AWG, 65M DE LONGITUD SIN CORTES.</t>
  </si>
  <si>
    <t>TABLERO DE CONTROL DE GRUPO DE PRESIÓN DE AGUA DE SERVICIOS. INCLUYE: REMATE ELÉCTRICO DE 2XMOTORES, RETORNOS AL SCD COMO INDICACIONES DE OPERACIÓN Y OK. INTEGRACIÓN EN TABLERO, MONTAJE Y PUESTA EN MARCHA. CABLEADO CON MC THHW 3Ø+1T-1X8AWG C/U, 70M DE LONGITUD SIN CORTES. MONTAJE FÍSICO EN PEDESTAL METÁLICO SOLDADO, ANCLADO Y CON ACABADO PARA C5M.</t>
  </si>
  <si>
    <t>GRUPO DE PRESIÓN AGUA DE POTABLE 2 BOMBAS VERTICALES. INCLUYE: REMATE ELÉCTRICO DE 2XMOTORES, RETORNOS AL SCD COMO INDICACIONES DEOPERACIÓN Y OK. INTEGRACIÓN EN TABLERO, MONTAJE Y PUESTA EN MARCHA. CABLEADO CON MC THHW 3Ø+1T- 1X8AWG C/U, 70M DE LONGITUD SIN CORTES. MONTAJE FÍSICO EN PEDESTAL METÁLICO SOLDADO, ANCLADO Y CON ACABADO PARA C5M.</t>
  </si>
  <si>
    <t>BOMBA A TANQUE DE ENTREGA DE VFD AL MOTOR. INCLUYE: CABLEADO CON CONDUCTOR XLPE 3Ø-2X500MCM C/U Y 1T-1AWG, 80 M DE LONGITUD SIN CORTES. INSTALACIÓN DE BOTONERA Y CABLEADO. MONTAJE FÍSICO EN PEDESTAL METÁLICO SOLDADO, ANCLADO Y CON ACABADO PARA C5M.</t>
  </si>
  <si>
    <t>BOMBA A TANQUE DE ENTREGA. IGUAL A LA PARTIDA ANTERIOR.</t>
  </si>
  <si>
    <t>POLIPASTO ELÉCTRICO EN TANQUE DE ENTREGA. ACTUALIZACION. Alimentación principal de fuerza de 460VCA/60Hz/3KW. Cableado con Multi conductor THHW, 3Ø-1x12AWG c/u y 1T- 12AWG, 71m de longitud sin cortes. Alimentación auxiliar de 127VCA/60Hz//5A al tablero principal. Cableado con Multiconductor conductor THHW, 1Ø-1Nx12AWG c/u y 1T- 12AWG, 71m de longitud sin cortes. Interconexión de motores y botoneras. AGITADOR VERTICAL, DOSIFICADOR VOLUMÉTRICO, AGITADOR DOSIFICADOR. Alimentación principal de SERVICIOS con cables THHW 3Ø-1/12AWG c/u Y 1T-14AWG. Interconexión de servicios, botoneras.</t>
  </si>
  <si>
    <t>105</t>
  </si>
  <si>
    <t>106</t>
  </si>
  <si>
    <t>107</t>
  </si>
  <si>
    <t>108</t>
  </si>
  <si>
    <t>109</t>
  </si>
  <si>
    <t>110</t>
  </si>
  <si>
    <t>111</t>
  </si>
  <si>
    <t>112</t>
  </si>
  <si>
    <t>113</t>
  </si>
  <si>
    <t>114</t>
  </si>
  <si>
    <t>115</t>
  </si>
  <si>
    <t>116</t>
  </si>
  <si>
    <t>POLIPASTO ELÉCTRICO EN TANQUE EB2. ACTUALIZACION. IGUAL A LA PARTIDA ANTERIOR.</t>
  </si>
  <si>
    <t>A BOMBA ESTACIÓN EB2. ACTUALIZACION. CABLEADO CON CONDUCTOR THHW, 3Ø- 3X2AWG+1T-14AWG, 75M DE LONGITUD SIN CORTES. CABLEADO CON CONDUCTOR THHW, 1Ø- 1FX12AWG+1NX12AWG+1TX14AWG, 75M DE LONGITUD SIN CORTES.</t>
  </si>
  <si>
    <t>BOMBA ESTACIÓN EB2.ACTUALIZACION. IGUAL A LA PARTIDA ANTERIOR.</t>
  </si>
  <si>
    <t>BOMBA SUMERGIBLE FANGO A TRATAMIENTO</t>
  </si>
  <si>
    <t>BOMBA SUMERGIBLE DE EFLUENTES</t>
  </si>
  <si>
    <t>ESPESADOR DE FANGOS</t>
  </si>
  <si>
    <t>AGITADOR ESPESADOR DE FANGOS. 06/Oct/2026  2c 07/Oct/2026
TABLERO DE CONTROL DE TORQUE Y  
ALIMENTACIÓN. INCLUYE: GABINETE NO  
METÁLICO NEMA4X, SUMINISTRO E  
INSTALACIÓN DE RELEVADOR DE  
PROTECCIÓN POR SOBRECORRIENTE  
CON INDICADOR LOCAL O INVERSOR DE  
FRECUENCIA. REMATE ELÉCTRICO DE  
MOTOR, REMATE ELÉCTRICO DE SALIDA  
DE 4-20mA DE RETORNO Y PUERTO DE  
COMUNICACIÓN MODBUS TCP.  
INTEGRACIÓN EN TABLERO, MONTAJE Y  
PUESTA EN MARCHA. ACTUALIZACION: 
°Cableado  con conductor THHW, 4Ø-12AWG,  
70m de longitud sin cortes. Fuerza. 
°Cableado  con conductor THHW, 5Ø-12AWG,  
70m de longitud sin cortes. Voltaje auxiliar.</t>
  </si>
  <si>
    <t>BOMBA DE TORNILLO</t>
  </si>
  <si>
    <t>AGITADOR DE FONDO CÁRCAMO DE LODOS. TABLERO DE CONTROL DE TORQUE Y ALIMENTACIÓN. INCLUYE: GABINETE NO METÁLICO NEMA4X, SUMINISTRO E INSTALACIÓN DE RELEVADOR DE PROTECCIÓN POR SOBRECORRIENTE CON INDICADOR LOCAL O INVERSOR DE FRECUENCIA. REMATE ELÉCTRICO DE MOTOR, REMATE ELÉCTRICO DE SALIDA DE 4-20MA DE RETORNO Y PUERTO DE COMUNICACIÓN MODBUS TCP. INTEGRACIÓN EN TABLERO, MONTAJE Y PUESTA EN ARCHA. ACTUALIZACION: CABLEADO CON CONDUCTOR THHW, 4Ø-12AWG, 70M DE LONGITUD SIN CORTES. FUERZA. CABLEADO CON CONDUCTOR THHW, 5Ø-12AWG, 70M DE LONGITUD SIN CORTES. VOLTAJE AUXILIAR.</t>
  </si>
  <si>
    <t>117</t>
  </si>
  <si>
    <t>118</t>
  </si>
  <si>
    <t>119</t>
  </si>
  <si>
    <t>120</t>
  </si>
  <si>
    <t>121</t>
  </si>
  <si>
    <t>122</t>
  </si>
  <si>
    <t>123</t>
  </si>
  <si>
    <t>124</t>
  </si>
  <si>
    <t>BOMBA SUMERGIBLE</t>
  </si>
  <si>
    <t>PUENTE GRÚA</t>
  </si>
  <si>
    <t>CINTA TRANSPORTADORA</t>
  </si>
  <si>
    <t>PAQUETE SISTEMA DE PREPARACIÓN Y DOSIFICACIÓN DE POLIELECTROLITO</t>
  </si>
  <si>
    <t>CONEXIÓN DE PTS EN 3 FASES AL ARRANCADOR O RELEVADOR DE PROTECCIÓN. ACTUALIZACIÓN. 40X3=120 PIEZAS PIEZAS DE INDICADORES DE TEMPERATURA POR FASE. SUMINISTRO/HABILITADO Y MONTAJE DE CAJA POLIMÉRICA DE 25X30X15 INTEGRANDO TODOS LOS ELEMENTOS. ALIMENTACIÓN, PROTECCIÓN, MEDICIÓN Y SALIDAS. HABILITADO Y MONTAJE DE BASE METÁLICA. CUMPLIR CON NEMA 4X Y C5M. CONEXIÓN DE CADA RTD/3 HILOS A SU INDICADOR. CONFIGURACIÓN DE VALORES DE ALARMA Y DISPARO A TRAVÉS DE RELEVADOR, SALIDA DIGITAL. HACER UNA SERIE A UN RELEVADOR DE SEGURIDAD PARA ACTIVAR/DESACTIVAR POR RIESGO DE TEMPERATURA. SALIDA HACIA EL PLC. CABLEADO CON MULTICONDUCTOR MC THHW, (2-16AWG), 70M DE LONGITUD SIN CORTES. ° VOLTAJE AUXILIAR DE 3Ø/220VCA/127VCA/REG/RES/60HZ, CON MULTICONDUCTOR MC THHW, 5-12AWG), 70M DE LONGITUD SIN CORTES.</t>
  </si>
  <si>
    <t>SUMINISTRO E INSTALACIÓN DE CONDUCTOR DE PUESTA A TIERRA DE COBRE DESNUDO CABLEADO CONCÉNTRICO, SEMIDURO #2/0 AWG (PUNTAS PREPARADAS) Y UNIÓN DE CADA UNO DE LOS GABINETES ELÉCTRICOS, BANCADAS, BASES METÁLICAS DE EQUIPOS, BOTONERAS, EQUIPOS MECÁNICOS, EQUIPOS ELÉCTRICOS. REMATES POR MEDIO DE CABLE DESNUDO Y ZAPATAS MECÁNICA. DERIVACIONES A PARTIR DE LA RED DE TIERRA EXISTENTE. BARRENADO DE PLACAS, SOLERAS O PERFILES DE SER NECESARIO.</t>
  </si>
  <si>
    <t xml:space="preserve"> ACTUALIZACION. 24/Sep/2026  7c 30/Sep/2026
14 PIEZAS DE PANELES NEUMÁTICOS.  
VOLTAJE AUXILIAR DE  
3Ø/220VCA/127VCA/REG/RES/60Hz. 
°Cableado  con conductor THHW, 10x(5- 
12AWG), 70m de longitud sin cortes. Fuerza a  
cada uno.</t>
  </si>
  <si>
    <t>SALIDAS A MOTOR CON INVERSOR O VARIADOR DE FRECUENCIA. -INTEGRACIÓN DE 64 INVERSORES (DE 65KW E INFERIORES) DENTRO DE CUNA O SECCIÓN, CON TABLILLA DE INTERCONEXIÓN Y KEYPAD AL FRENTE EN LA PUERTA -MONTAJE DE 26 INVERSORES DE 75KW O MAYORES EN SUU PROPIO ARREGLO DE GABINETE, POSICIONAMIENTO Y ANCLAJE INVERSORES Y KEYPAD SON SUMINISTRADOS POR CODEPAC ALAMBRADO REQUERIDO VF HARDWIRED SPEED FEEDBACK AI VF HARDWIRED SPEED SETPOINT AO VF HARDWIRED EMERGENCY STOP DI VF HARDWIRED FAULT STATE DI VF HARDWIRED RUNNING STATE DI VF HARDWIRED STOP COMMAND DO VF HARDWIRED START COMMAND DO</t>
  </si>
  <si>
    <t>125</t>
  </si>
  <si>
    <t>SUMINISTRO E INSTALACIÓN DE PUNTAS FRANKLIN- PARARRAYOS</t>
  </si>
  <si>
    <t>TRABAJOS COMPLEMENTARIOS</t>
  </si>
  <si>
    <t>Pozos en la EDAM.</t>
  </si>
  <si>
    <t>Pozos en el Tanque de Entrega.</t>
  </si>
  <si>
    <t>Pozos en la EB2.</t>
  </si>
  <si>
    <t>UNIDAD FOTOVOLTAICA TE.</t>
  </si>
  <si>
    <t>Diseño, Suministro e Instalación de unidad Fotovoltaica de 550 Wp, supuesto en 6 paneles solares, 2 QO de protección, unidades térmicas, regulador, cuadro de baterías de 48V/1410Ah y etapa de inversión de 3000VA/127VCA/60Hz.</t>
  </si>
  <si>
    <t>Suministro e Instalación de un Switchgear Principal de BT en el TE@127VCA, acometida de 1Ø, 1N, 1T, 127V, 60Hz, In 15A, 7 servicios.</t>
  </si>
  <si>
    <t>INSTRUMENTACION</t>
  </si>
  <si>
    <t>MONTAJE DE TODA LA INSTRUMENTACIÓN EN CAMPO, DE ACUERDO AL LISTADO DE INSTRUMENTOS DEL PROYECTO. MX04C1-ID-00-IC-LI 00002. CONSIDERAR LA POSICIÓN DE SENSORES Y TRANSMISORES INDICADORES. SOLO MONTAJES FÍSICOS SIN ADAPTADORES, CONECTORES, EMPAQUES, ETC.</t>
  </si>
  <si>
    <t>SUMINISTRO, PREPARACIÓN E INSTALACIÓN DE TUBERÍA TERMOPLÁSTICA CONDUIT, PVC FLEXIBLE, INFLAMABLE, RANGO DE TEMPERATURA DE 10°C A 65°C, RESISTENTE A LA INTEMPERIE, USADO CON CONECTORES HERMÉTICOS "LIQUIDTIGHT". NO SE HACEN QUIEBRES, NO SE UTILIZAN CAJAS DE CONEXIONES, O CODOS O CONDULETS (POR UTILIZAR EL SISTEMA VENTILADO DE "CABLES VISTOS"). SOLO TRAMOS RECTOS. ACARREOS, MEDICIONES, CORTES, PREPARACIONES, INSTALACIÓN Y SUJECIONES A SOPORTES. SEGÚN LISTADO DE CANALIZACIONES ELÉCTRICAS. MX04C1-ID-00-EL-LI-00001 Y REMATES INDIVIDUALES A LA INSTRUMENTACIÓN, CONSIDERANDO 8M DE TUBERÍA FINAL.</t>
  </si>
  <si>
    <t>INTERCONEXIONES DE SEÑALES DE SUBESTACIONES COMPACTAS MT-BT 
~INTERCONEXIÓN DE SEÑALES CELDA ENTRADA MT
~INTERCONEXIONES DE SEÑALES DE CUADROS DE DISTRIBUCIÓN DE BAJA TENSIÓN.
~INTERCONEXIONES DE SEÑALES DE CCMS
~INTERCONEXIONES DE SEÑALES DE CELDAS SALIDA MT
~INTERCONEXIONES DE SEÑALES DE INTERRUPTOR BT ENTRADA PRINCIPAL PARA CGD DE TRANSFORMADOR O GRUPO DIÉSEL. 
~INTERCONEXIONES DE SEÑALES DE TRANSFORMADORES MT/BT
~INTERCONEXIONES DE SEÑALES DE INTERRUPTOR BT ENTRADAS PRINCIPALES MCC ~INTERCONEXIONES DE SEÑALES DE INTERRUPTOR BT ACOPLAMIENTO PARA CGD Y PARA CCMS
~INTERCONEXIONES DE SEÑALES DE INTERRUPTORES DE SALIDA
~INTERCONEXIONES DE SEÑALES DE SALIDA A MOTOR TIPO DOL
~INTERCONEXIONES DE SEÑALES DE SALIDAS A MOTOR CON VARIADOR DE FRECUENCIA (VFD)
~INTERCONEXIONES DE SEÑALES DE SALIDAS A MOTOR CON ARRANCADOR ESTÁTICO</t>
  </si>
  <si>
    <t>CONEXIÓN DE TABLEROS NEUMÁTICOS PARA VÁLVULAS NEUMÁTICAS 
SISTEMA DE ALMACENAMIENTO Y DOSIFICACIÓN DE CO2 (VP) 
TABLERO PRINCIPAL METABISULFITO SÓDICO. DESCARGADOR DE BIG-BAGS, IZAJE, PUENTE. PREPARACIÓN Y DOSIFICACIÓN 
PUENTE GRÚA OSMOSIS 
SISTEMA DE PREPARACIÓN DE CAL Y DOSIFICACIÓN (R) 
COMPRESOR CENTRÍFUGO 
SECADOR FRIGORÍFICO 
TABLERO DE CONTROL DE GRUPO DE PRESIÓN DE AGUA DE SERVICIOS 
GRUPO DE PRESIÓN AGUA DE POTABLE (2 BOMBAS VERTICALES PAQUETE SISTEMA DE PREPARACIÓN Y DOSIFICACIÓN DE POLIELECTROLITO 
TRANSMISORES MAGNÉTICOS DE FLUJO. FITS 
TRANSMISOR DE PRESIÓN</t>
  </si>
  <si>
    <t>ANALÍTICA 
TEMPERATURA 
INSTALACIÓN DE CABLEADO Y REMATES DE VFDS, SS
INSTALACIÓN DE CAJAS DE SUMINISTRO ELÉCTRICO PARA VÁLVULAS MOTORIZADAS 
TABLERO DE CONTROL PARA EL PUENTE GRÚA DEL ÁREA DE FILTROS 
DESCARGADOR DE BIG-BAGS, IZAJE, PUENTE, TRANSPORTE 
PREPARACIÓN Y DOSIFICACIÓN 
TABLERO DE CONTROL DE TEMPERATURA 
SISTEMA DE ALMACENAMIENTO Y DOSIFICACIÓN DE CO2 (VP) 
SISTEMA DE DOSIFICACIÓN DE CAL</t>
  </si>
  <si>
    <t>SEMANA 15</t>
  </si>
  <si>
    <t>SEMANA 16</t>
  </si>
  <si>
    <t>SEMANA 17</t>
  </si>
  <si>
    <t>SEMANA 18</t>
  </si>
  <si>
    <t>SEMANA 19</t>
  </si>
  <si>
    <t>SEMANA 20</t>
  </si>
  <si>
    <t>SKID DOSIFICACIÓN HIPOCLORITO 
SKID DOSIFICACIÓN CLORURO FÉRRICO. DESALADORA 
SKID DOSIFICACIÓN ANTIINCRUSTANTE. DESALADORA 
SKID DOSIFICACIÓN ÁCIDO SULFÚRICO. DESALADORA 
SKID DOSIFICACIÓN ÁCIDO SULFÚRICO. DESALADORA 
SKID DOSIFICACIÓN ÁCIDO SULFÚRICO. DESALADORA 
SKID DOSIFICACIÓN ÁCIDO SULFÚRICO. DESALADORA 
SKID DOSIFICACIÓN HIDRÓXIDO SÓDICO. DESALADORA 
SKID DOSIFICACIÓN HIDRÓXIDO SÓDICO. DESALADORA 
GRUPO DE PRESIÓN AGUA DE POTABLE (2 BOMBAS VERTICALES + DEPOSITO ANTI ARIETE) 
GRUPO DE PRESIÓN AGUA DE SERVICIOS 
POLIPASTO ELÉCTRICO EN TANQUE DE ENTREGA 
POLIPASTO ELÉCTRICO EN TANQUE EB2 
ESPESADOR DE FANGOS 
AGITADOR ESPESADOR DE FANGOS. TABLERO DE CONTROL DE TORQUE Y ALIMENTACIÓN 
PUENTE GRÚA 
FILTRO BANDA 
CINTA TRANSPORTADORA 
PAQUETE SISTEMA DE PREPARACIÓN Y DOSIFICACIÓN DE POLIELECTROLITO</t>
  </si>
  <si>
    <t>SUMINISTRO Y MONTAJE DE BOTONERAS LOCALES Y DE EMERGENCIA 
GENERADORES DE EMERGENCIA 
MEDIDORES DE ANALÍTICA 
MONTAJE E INTERCONEXIÓN DE LA IO REMOTAS 
SEÑALES DE INSTRUMENTACIÓN DE CADA UNO DE LOS UPSs 
SEÑALES DE INSTRUMENTACIÓN DE 3 GENERADORES DE C.C.</t>
  </si>
  <si>
    <t>FIN DE PROYECTO: SEMANA DE AJUSTES Y ULTIMOS ETIQUEDADOS</t>
  </si>
  <si>
    <r>
      <rPr>
        <b/>
        <sz val="12"/>
        <color rgb="FFFF0000"/>
        <rFont val="Arial"/>
        <family val="2"/>
      </rPr>
      <t>(SALAS )</t>
    </r>
    <r>
      <rPr>
        <b/>
        <sz val="12"/>
        <color theme="4" tint="-0.249977111117893"/>
        <rFont val="Arial"/>
        <family val="2"/>
      </rPr>
      <t>CFE SUMINISTRO 1- MEDIA TENSIÓN → EDAM + CÁRCAMO DE BOMBEO</t>
    </r>
  </si>
  <si>
    <r>
      <rPr>
        <b/>
        <sz val="12"/>
        <color rgb="FFFF0000"/>
        <rFont val="Arial"/>
        <family val="2"/>
      </rPr>
      <t xml:space="preserve"> (CANPO)</t>
    </r>
    <r>
      <rPr>
        <b/>
        <sz val="12"/>
        <color theme="4" tint="-0.249977111117893"/>
        <rFont val="Arial"/>
        <family val="2"/>
      </rPr>
      <t xml:space="preserve"> ALIMENTADORES PRINCIPALES Y DERIVADOS EN BAJA TENSION (460VCA) EDAM</t>
    </r>
  </si>
  <si>
    <t>NOTAS GENERALES DEL CRONOGRAMA
1. Liberación de frentes
El inicio de las actividades estará sujeto a la liberación formal de los frentes de trabajo por parte de CODEPAC y/o la Dirección del Proyecto, garantizando accesos seguros y áreas disponibles para la ejecución.
2. Disponibilidad de materiales y equipos
Las fechas del presente cronograma consideran que todos los materiales, equipos e instrumentos suministrados por CODEPAC y otros proveedores estarán disponibles en sitio conforme al programa establecido. Cualquier retraso impactará directamente el programa de ejecución.
3. Instrumentación
La instalación de instrumentación se considera uno de los primeros alcances de ejecución, por lo que previamente deberá confirmarse:
Disponibilidad de todos los instrumentos en sitio.
Lista definitiva de instrumentos.
Marcas y modelos.
Hojas de datos (Datasheets).
Planos y diagramas de instrumentación actualizados.
Planos PI&amp;D y diagramas de control aprobados.
4. Condiciones de tuberías
Previo al inicio de la instalación de instrumentación deberá verificarse que el contratista de tuberías haya concluido:
Instalación de bridas.
Soldaduras.
Soportería.
Pruebas correspondientes.
Liberación mecánica de las líneas.
5. Comunicación de equipos
Las actividades relacionadas con comunicación entre UPS, Generadores, CCM, Tableros de Control y demás equipos estarán sujetas a que previamente se encuentren concluidos:
Obra civil.
Obra gris.
Acabados.
Canalizaciones.
Cuartos eléctricos y de control liberados.
Energización cuando aplique.
6. Dependencias con otros contratistas
El presente programa depende del avance y liberación de actividades ejecutadas por otras especialidades (es indispensable contar con el programa maestro por parte de CODEPAC), entre ellas:
Civil
Estructuras
Pailería
Tuberías
Mecánica
HVAC
Instrumentación
Automatización
Arquitectura
Acabados
Cualquier modificación en dichos avances podrá generar ajustes al cronograma.
7. Ingeniería aprobada
Todas las actividades consideran que la ingeniería emitida para construcción (IFC) se encuentra vigente y aprobada, incluyendo:
Planos eléctricos.
Diagramas unifilares.
Planos de trayectorias.
Planos PI&amp;D.
Diagramas de control.
Especificaciones técnicas.
Catálogo de conceptos.
8. Interferencias
Las actividades están sujetas a que no existan interferencias con otras disciplinas o contratistas. Las interferencias detectadas deberán resolverse previamente para evitar retrasos.
9. Áreas libres de trabajo
Las áreas deberán encontrarse:
Libres de materiales.
Libres de equipos temporales.
Sin restricciones de acceso.
Con condiciones seguras para trabajar.
Autorizadas por Seguridad Industrial.
10. Condiciones logísticas
El cronograma considera disponibles:
Accesos.
Áreas de descarga.
Áreas de almacenamiento.
Espacios para prefabricación.
Permisos de ingreso.
Credenciales y cursos de inducción.
11. Cambios de ingeniería
Cualquier modificación al alcance, ingeniería, especificaciones, rutas de instalación, ubicación de equipos o requerimientos del cliente deberá evaluarse mediante el procedimiento correspondiente (RFI, Orden de Cambio o instrucción de campo), pudiendo generar ajustes al cronograma.
12. Condiciones climáticas
Las actividades podrán reprogramarse en caso de condiciones climatológicas adversas (lluvias intensas, ciclones, huracanes o vientos fuertes) que comprometan la seguridad o continuidad de los trabajos.
13. Revisión semanal
El presente cronograma deberá actualizarse de forma semanal conforme a:
Avance real de obra.
Liberación de áreas.
Llegada de materiales.
Cambios de ingeniería.
Restricciones detectadas.
Acuerdos con CODEPAC.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</si>
</sst>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2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4"/>
      <color theme="1"/>
      <name val="Arial Black"/>
      <family val="2"/>
    </font>
    <font>
      <sz val="11"/>
      <color theme="0"/>
      <name val="Arial Black"/>
      <family val="2"/>
    </font>
    <font>
      <sz val="11"/>
      <name val="Arial Black"/>
      <family val="2"/>
    </font>
    <font>
      <sz val="11"/>
      <name val="Calibri"/>
      <family val="2"/>
      <scheme val="minor"/>
    </font>
    <font>
      <sz val="10"/>
      <name val="Arial Black"/>
      <family val="2"/>
    </font>
    <font>
      <sz val="11"/>
      <color rgb="FFC00000"/>
      <name val="Arial"/>
      <family val="2"/>
    </font>
    <font>
      <b/>
      <sz val="11"/>
      <color rgb="FFC00000"/>
      <name val="Calibri"/>
      <family val="2"/>
      <scheme val="minor"/>
    </font>
    <font>
      <sz val="10"/>
      <color theme="1"/>
      <name val="Calibri"/>
      <family val="2"/>
      <scheme val="minor"/>
    </font>
    <font>
      <b/>
      <sz val="11"/>
      <name val="Calibri"/>
      <family val="2"/>
      <scheme val="minor"/>
    </font>
    <font>
      <sz val="10"/>
      <color theme="1"/>
      <name val="Arial Black"/>
      <family val="2"/>
    </font>
    <font>
      <b/>
      <sz val="10"/>
      <color rgb="FFFF0000"/>
      <name val="Calibri"/>
      <family val="2"/>
      <scheme val="minor"/>
    </font>
    <font>
      <b/>
      <sz val="12"/>
      <color theme="1"/>
      <name val="Calibri"/>
      <family val="2"/>
      <scheme val="minor"/>
    </font>
    <font>
      <sz val="11"/>
      <color rgb="FFC00000"/>
      <name val="Calibri"/>
      <family val="2"/>
      <scheme val="minor"/>
    </font>
    <font>
      <b/>
      <sz val="11"/>
      <color rgb="FFC00000"/>
      <name val="Arial"/>
      <family val="2"/>
    </font>
    <font>
      <sz val="8"/>
      <name val="Calibri"/>
      <family val="2"/>
      <scheme val="minor"/>
    </font>
    <font>
      <b/>
      <sz val="11"/>
      <color theme="4" tint="-0.249977111117893"/>
      <name val="Arial"/>
      <family val="2"/>
    </font>
    <font>
      <b/>
      <sz val="12"/>
      <color theme="4" tint="-0.249977111117893"/>
      <name val="Arial"/>
      <family val="2"/>
    </font>
    <font>
      <b/>
      <sz val="10"/>
      <color theme="4" tint="-0.249977111117893"/>
      <name val="Arial"/>
      <family val="2"/>
    </font>
    <font>
      <sz val="10"/>
      <color theme="1"/>
      <name val="Calibri"/>
      <family val="2"/>
    </font>
    <font>
      <sz val="11"/>
      <color theme="1"/>
      <name val="Calibri"/>
      <family val="2"/>
    </font>
    <font>
      <b/>
      <sz val="12"/>
      <color rgb="FFFF0000"/>
      <name val="Arial"/>
      <family val="2"/>
    </font>
    <font>
      <b/>
      <sz val="10"/>
      <color theme="1"/>
      <name val="Calibri"/>
      <family val="2"/>
      <scheme val="minor"/>
    </font>
  </fonts>
  <fills count="14">
    <fill>
      <patternFill patternType="none"/>
    </fill>
    <fill>
      <patternFill patternType="gray125"/>
    </fill>
    <fill>
      <patternFill patternType="solid">
        <fgColor theme="2" tint="-0.749992370372631"/>
        <bgColor indexed="64"/>
      </patternFill>
    </fill>
    <fill>
      <patternFill patternType="solid">
        <fgColor theme="1"/>
        <bgColor indexed="64"/>
      </patternFill>
    </fill>
    <fill>
      <patternFill patternType="solid">
        <fgColor theme="2"/>
        <bgColor indexed="64"/>
      </patternFill>
    </fill>
    <fill>
      <patternFill patternType="solid">
        <fgColor theme="1" tint="0.34998626667073579"/>
        <bgColor indexed="64"/>
      </patternFill>
    </fill>
    <fill>
      <patternFill patternType="solid">
        <fgColor theme="1" tint="0.249977111117893"/>
        <bgColor indexed="64"/>
      </patternFill>
    </fill>
    <fill>
      <patternFill patternType="solid">
        <fgColor rgb="FFC00000"/>
        <bgColor indexed="64"/>
      </patternFill>
    </fill>
    <fill>
      <patternFill patternType="solid">
        <fgColor theme="2" tint="-9.9978637043366805E-2"/>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theme="4" tint="-0.249977111117893"/>
        <bgColor indexed="64"/>
      </patternFill>
    </fill>
    <fill>
      <patternFill patternType="solid">
        <fgColor theme="5" tint="0.59999389629810485"/>
        <bgColor indexed="64"/>
      </patternFill>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26">
    <xf numFmtId="0" fontId="0" fillId="0" borderId="0" xfId="0"/>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2" fillId="3" borderId="0" xfId="0" applyFont="1" applyFill="1" applyAlignment="1">
      <alignment vertical="center"/>
    </xf>
    <xf numFmtId="0" fontId="2" fillId="2" borderId="0" xfId="0" applyFont="1" applyFill="1" applyAlignment="1">
      <alignment vertical="center"/>
    </xf>
    <xf numFmtId="0" fontId="2" fillId="6" borderId="0" xfId="0" applyFont="1" applyFill="1" applyAlignment="1">
      <alignment horizontal="center" vertical="center"/>
    </xf>
    <xf numFmtId="0" fontId="2" fillId="5" borderId="0" xfId="0" applyFont="1" applyFill="1" applyAlignment="1">
      <alignment horizontal="center" vertical="center"/>
    </xf>
    <xf numFmtId="44" fontId="0" fillId="0" borderId="0" xfId="0" applyNumberFormat="1"/>
    <xf numFmtId="0" fontId="0" fillId="0" borderId="0" xfId="0" applyAlignment="1">
      <alignment vertical="top" wrapText="1"/>
    </xf>
    <xf numFmtId="0" fontId="0" fillId="0" borderId="2" xfId="0" applyBorder="1"/>
    <xf numFmtId="0" fontId="0" fillId="0" borderId="0" xfId="0" applyAlignment="1">
      <alignment horizontal="right" vertical="center"/>
    </xf>
    <xf numFmtId="44" fontId="0" fillId="0" borderId="0" xfId="1" applyFont="1"/>
    <xf numFmtId="0" fontId="0" fillId="0" borderId="0" xfId="0" applyAlignment="1">
      <alignment horizontal="left" wrapText="1"/>
    </xf>
    <xf numFmtId="0" fontId="3" fillId="0" borderId="0" xfId="0" applyFont="1" applyAlignment="1">
      <alignment horizontal="left" wrapText="1"/>
    </xf>
    <xf numFmtId="0" fontId="3" fillId="0" borderId="0" xfId="0" applyFont="1" applyAlignment="1">
      <alignment horizontal="left" vertical="top" wrapText="1"/>
    </xf>
    <xf numFmtId="0" fontId="0" fillId="0" borderId="0" xfId="0" applyAlignment="1">
      <alignment horizontal="center" wrapText="1"/>
    </xf>
    <xf numFmtId="0" fontId="11" fillId="0" borderId="5" xfId="0" applyFont="1" applyBorder="1" applyAlignment="1">
      <alignment horizontal="left" wrapText="1"/>
    </xf>
    <xf numFmtId="0" fontId="15" fillId="0" borderId="0" xfId="0" applyFont="1" applyAlignment="1">
      <alignment horizontal="center"/>
    </xf>
    <xf numFmtId="0" fontId="0" fillId="0" borderId="0" xfId="0" applyAlignment="1">
      <alignment horizontal="left" vertical="top" wrapText="1"/>
    </xf>
    <xf numFmtId="0" fontId="11" fillId="0" borderId="5" xfId="0" applyFont="1" applyBorder="1" applyAlignment="1">
      <alignment horizontal="left"/>
    </xf>
    <xf numFmtId="0" fontId="6" fillId="0" borderId="3" xfId="0" applyFont="1" applyBorder="1" applyAlignment="1">
      <alignment horizontal="center"/>
    </xf>
    <xf numFmtId="0" fontId="11" fillId="0" borderId="5" xfId="0" applyFont="1" applyBorder="1" applyAlignment="1">
      <alignment horizontal="left" vertical="top" wrapText="1"/>
    </xf>
    <xf numFmtId="0" fontId="13" fillId="7" borderId="5" xfId="0" applyFont="1" applyFill="1" applyBorder="1" applyAlignment="1">
      <alignment horizontal="left"/>
    </xf>
    <xf numFmtId="0" fontId="0" fillId="0" borderId="0" xfId="0" applyAlignment="1">
      <alignment horizontal="center"/>
    </xf>
    <xf numFmtId="0" fontId="0" fillId="9" borderId="0" xfId="0" applyFill="1"/>
    <xf numFmtId="0" fontId="2" fillId="8" borderId="0" xfId="0" applyFont="1" applyFill="1" applyAlignment="1">
      <alignment horizontal="center" vertical="center"/>
    </xf>
    <xf numFmtId="0" fontId="6" fillId="12" borderId="1" xfId="0" applyFont="1" applyFill="1" applyBorder="1"/>
    <xf numFmtId="0" fontId="6" fillId="12" borderId="2" xfId="0" applyFont="1" applyFill="1" applyBorder="1"/>
    <xf numFmtId="0" fontId="6" fillId="12" borderId="4" xfId="0" applyFont="1" applyFill="1" applyBorder="1"/>
    <xf numFmtId="0" fontId="6" fillId="12" borderId="0" xfId="0" applyFont="1" applyFill="1"/>
    <xf numFmtId="0" fontId="17" fillId="0" borderId="9" xfId="0" applyFont="1" applyBorder="1"/>
    <xf numFmtId="0" fontId="9" fillId="0" borderId="9" xfId="0" applyFont="1" applyBorder="1"/>
    <xf numFmtId="0" fontId="0" fillId="0" borderId="9" xfId="0" applyBorder="1" applyAlignment="1">
      <alignment horizontal="center" vertical="center" wrapText="1"/>
    </xf>
    <xf numFmtId="0" fontId="0" fillId="0" borderId="9" xfId="0" applyBorder="1" applyAlignment="1">
      <alignment horizontal="center" vertical="center"/>
    </xf>
    <xf numFmtId="0" fontId="11" fillId="0" borderId="9" xfId="0" applyFont="1" applyBorder="1" applyAlignment="1">
      <alignment horizontal="center" vertical="center"/>
    </xf>
    <xf numFmtId="2" fontId="11" fillId="0" borderId="9" xfId="0" applyNumberFormat="1" applyFont="1" applyBorder="1" applyAlignment="1">
      <alignment horizontal="center" vertical="center"/>
    </xf>
    <xf numFmtId="0" fontId="9" fillId="0" borderId="9" xfId="0" applyFont="1" applyBorder="1" applyAlignment="1">
      <alignment horizontal="center"/>
    </xf>
    <xf numFmtId="0" fontId="11" fillId="0" borderId="9" xfId="0" applyFont="1" applyBorder="1"/>
    <xf numFmtId="0" fontId="0" fillId="0" borderId="9" xfId="0" applyBorder="1"/>
    <xf numFmtId="0" fontId="14" fillId="0" borderId="9" xfId="0" applyFont="1" applyBorder="1" applyAlignment="1">
      <alignment horizontal="center" vertical="center" wrapText="1"/>
    </xf>
    <xf numFmtId="4" fontId="11" fillId="0" borderId="9" xfId="0" applyNumberFormat="1" applyFont="1" applyBorder="1" applyAlignment="1">
      <alignment horizontal="center" vertical="center"/>
    </xf>
    <xf numFmtId="44" fontId="14" fillId="0" borderId="9" xfId="0" applyNumberFormat="1" applyFont="1" applyBorder="1" applyAlignment="1">
      <alignment horizontal="center" vertical="center" wrapText="1"/>
    </xf>
    <xf numFmtId="0" fontId="6" fillId="7" borderId="9" xfId="0" applyFont="1" applyFill="1" applyBorder="1"/>
    <xf numFmtId="0" fontId="3" fillId="0" borderId="9" xfId="0" applyFont="1" applyBorder="1" applyAlignment="1">
      <alignment horizontal="center"/>
    </xf>
    <xf numFmtId="0" fontId="0" fillId="0" borderId="9" xfId="0" applyBorder="1" applyAlignment="1">
      <alignment horizontal="center"/>
    </xf>
    <xf numFmtId="44" fontId="0" fillId="11" borderId="9" xfId="1" applyFont="1" applyFill="1" applyBorder="1" applyAlignment="1">
      <alignment horizontal="center"/>
    </xf>
    <xf numFmtId="44" fontId="0" fillId="4" borderId="9" xfId="1" applyFont="1" applyFill="1" applyBorder="1" applyAlignment="1">
      <alignment horizontal="center"/>
    </xf>
    <xf numFmtId="44" fontId="0" fillId="0" borderId="9" xfId="0" applyNumberFormat="1" applyBorder="1"/>
    <xf numFmtId="0" fontId="10" fillId="0" borderId="9" xfId="0" applyFont="1" applyBorder="1" applyAlignment="1">
      <alignment horizontal="right"/>
    </xf>
    <xf numFmtId="0" fontId="16" fillId="0" borderId="9" xfId="0" applyFont="1" applyBorder="1" applyAlignment="1">
      <alignment horizontal="right"/>
    </xf>
    <xf numFmtId="0" fontId="10" fillId="0" borderId="9" xfId="1" applyNumberFormat="1" applyFont="1" applyFill="1" applyBorder="1" applyAlignment="1">
      <alignment horizontal="center"/>
    </xf>
    <xf numFmtId="0" fontId="17" fillId="0" borderId="10" xfId="0" applyFont="1" applyBorder="1"/>
    <xf numFmtId="0" fontId="9" fillId="0" borderId="10" xfId="0" applyFont="1" applyBorder="1"/>
    <xf numFmtId="0" fontId="6" fillId="0" borderId="11" xfId="0" applyFont="1" applyBorder="1" applyAlignment="1">
      <alignment horizontal="center"/>
    </xf>
    <xf numFmtId="0" fontId="6" fillId="0" borderId="9" xfId="0" applyFont="1" applyBorder="1"/>
    <xf numFmtId="0" fontId="9" fillId="10" borderId="9" xfId="0" applyFont="1" applyFill="1" applyBorder="1"/>
    <xf numFmtId="0" fontId="0" fillId="10" borderId="9" xfId="0" applyFill="1" applyBorder="1"/>
    <xf numFmtId="0" fontId="6" fillId="0" borderId="1" xfId="0" applyFont="1" applyBorder="1" applyAlignment="1">
      <alignment horizontal="center"/>
    </xf>
    <xf numFmtId="0" fontId="6" fillId="0" borderId="2" xfId="0" applyFont="1" applyBorder="1" applyAlignment="1">
      <alignment horizontal="center"/>
    </xf>
    <xf numFmtId="0" fontId="5" fillId="12" borderId="0" xfId="0" applyFont="1" applyFill="1" applyAlignment="1">
      <alignment horizontal="center"/>
    </xf>
    <xf numFmtId="49" fontId="11" fillId="0" borderId="9" xfId="0" applyNumberFormat="1" applyFont="1" applyBorder="1" applyAlignment="1">
      <alignment vertical="center" wrapText="1"/>
    </xf>
    <xf numFmtId="2" fontId="11" fillId="13" borderId="9" xfId="0" applyNumberFormat="1" applyFont="1" applyFill="1" applyBorder="1" applyAlignment="1">
      <alignment horizontal="center" vertical="center"/>
    </xf>
    <xf numFmtId="0" fontId="9" fillId="13" borderId="9" xfId="0" applyFont="1" applyFill="1" applyBorder="1"/>
    <xf numFmtId="0" fontId="0" fillId="13" borderId="9" xfId="0" applyFill="1" applyBorder="1"/>
    <xf numFmtId="44" fontId="14" fillId="13" borderId="9" xfId="0" applyNumberFormat="1" applyFont="1" applyFill="1" applyBorder="1" applyAlignment="1">
      <alignment horizontal="center" vertical="center" wrapText="1"/>
    </xf>
    <xf numFmtId="44" fontId="0" fillId="13" borderId="0" xfId="0" applyNumberFormat="1" applyFill="1"/>
    <xf numFmtId="0" fontId="0" fillId="13" borderId="0" xfId="0" applyFill="1"/>
    <xf numFmtId="0" fontId="0" fillId="10" borderId="9" xfId="0" applyFill="1" applyBorder="1" applyAlignment="1">
      <alignment horizontal="center" vertical="center"/>
    </xf>
    <xf numFmtId="49" fontId="11" fillId="0" borderId="9" xfId="0" applyNumberFormat="1" applyFont="1" applyBorder="1" applyAlignment="1">
      <alignment horizontal="center" vertical="center" wrapText="1"/>
    </xf>
    <xf numFmtId="0" fontId="9" fillId="9" borderId="9" xfId="0" applyFont="1" applyFill="1" applyBorder="1"/>
    <xf numFmtId="0" fontId="6" fillId="0" borderId="0" xfId="0" applyFont="1" applyAlignment="1">
      <alignment horizontal="center"/>
    </xf>
    <xf numFmtId="0" fontId="0" fillId="9" borderId="9" xfId="0" applyFill="1" applyBorder="1"/>
    <xf numFmtId="0" fontId="25" fillId="10" borderId="0" xfId="0" applyFont="1" applyFill="1" applyAlignment="1">
      <alignment horizontal="left" vertical="top" wrapText="1"/>
    </xf>
    <xf numFmtId="49" fontId="11" fillId="0" borderId="12" xfId="0" applyNumberFormat="1" applyFont="1" applyBorder="1" applyAlignment="1">
      <alignment horizontal="center" vertical="center" wrapText="1"/>
    </xf>
    <xf numFmtId="49" fontId="11" fillId="0" borderId="13" xfId="0" applyNumberFormat="1" applyFont="1" applyBorder="1" applyAlignment="1">
      <alignment horizontal="center" vertical="center" wrapText="1"/>
    </xf>
    <xf numFmtId="0" fontId="24" fillId="13" borderId="10" xfId="0" applyFont="1" applyFill="1" applyBorder="1" applyAlignment="1">
      <alignment horizontal="center" vertical="center"/>
    </xf>
    <xf numFmtId="0" fontId="24" fillId="13" borderId="12" xfId="0" applyFont="1" applyFill="1" applyBorder="1" applyAlignment="1">
      <alignment horizontal="center" vertical="center"/>
    </xf>
    <xf numFmtId="0" fontId="24" fillId="13" borderId="13" xfId="0" applyFont="1" applyFill="1" applyBorder="1" applyAlignment="1">
      <alignment horizontal="center" vertical="center"/>
    </xf>
    <xf numFmtId="0" fontId="4" fillId="4" borderId="0" xfId="0" applyFont="1" applyFill="1" applyAlignment="1">
      <alignment horizontal="center" vertical="center"/>
    </xf>
    <xf numFmtId="14" fontId="4" fillId="4" borderId="0" xfId="0" applyNumberFormat="1" applyFont="1" applyFill="1" applyAlignment="1">
      <alignment horizontal="center" vertical="center"/>
    </xf>
    <xf numFmtId="0" fontId="19" fillId="0" borderId="9" xfId="0" applyFont="1" applyBorder="1" applyAlignment="1">
      <alignment horizontal="center"/>
    </xf>
    <xf numFmtId="0" fontId="6" fillId="0" borderId="1"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6" fillId="0" borderId="0" xfId="0" applyFont="1" applyAlignment="1">
      <alignment horizontal="center"/>
    </xf>
    <xf numFmtId="0" fontId="6" fillId="0" borderId="5"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5" fillId="12" borderId="6" xfId="0" applyFont="1" applyFill="1" applyBorder="1" applyAlignment="1">
      <alignment horizontal="center"/>
    </xf>
    <xf numFmtId="0" fontId="5" fillId="12" borderId="7" xfId="0" applyFont="1" applyFill="1" applyBorder="1" applyAlignment="1">
      <alignment horizontal="center"/>
    </xf>
    <xf numFmtId="49" fontId="11" fillId="0" borderId="10" xfId="0" applyNumberFormat="1" applyFont="1" applyBorder="1" applyAlignment="1">
      <alignment horizontal="center" vertical="center" wrapText="1"/>
    </xf>
    <xf numFmtId="0" fontId="20" fillId="13" borderId="10" xfId="0" applyFont="1" applyFill="1" applyBorder="1" applyAlignment="1">
      <alignment horizontal="center" vertical="center"/>
    </xf>
    <xf numFmtId="0" fontId="20" fillId="13" borderId="12" xfId="0" applyFont="1" applyFill="1" applyBorder="1" applyAlignment="1">
      <alignment horizontal="center" vertical="center"/>
    </xf>
    <xf numFmtId="0" fontId="20" fillId="13" borderId="13" xfId="0" applyFont="1" applyFill="1" applyBorder="1" applyAlignment="1">
      <alignment horizontal="center" vertical="center"/>
    </xf>
    <xf numFmtId="0" fontId="20" fillId="0" borderId="10" xfId="0" applyFont="1" applyBorder="1" applyAlignment="1">
      <alignment horizontal="center" vertical="center"/>
    </xf>
    <xf numFmtId="0" fontId="20" fillId="0" borderId="12" xfId="0" applyFont="1" applyBorder="1" applyAlignment="1">
      <alignment horizontal="center" vertical="center"/>
    </xf>
    <xf numFmtId="0" fontId="20" fillId="0" borderId="13" xfId="0" applyFont="1" applyBorder="1" applyAlignment="1">
      <alignment horizontal="center" vertical="center"/>
    </xf>
    <xf numFmtId="0" fontId="6" fillId="8" borderId="0" xfId="0" applyFont="1" applyFill="1" applyAlignment="1">
      <alignment horizontal="center"/>
    </xf>
    <xf numFmtId="0" fontId="8" fillId="4" borderId="4" xfId="0" applyFont="1" applyFill="1" applyBorder="1" applyAlignment="1">
      <alignment horizontal="center"/>
    </xf>
    <xf numFmtId="0" fontId="8" fillId="4" borderId="0" xfId="0" applyFont="1" applyFill="1" applyAlignment="1">
      <alignment horizontal="center"/>
    </xf>
    <xf numFmtId="0" fontId="12" fillId="8" borderId="4" xfId="0" applyFont="1" applyFill="1" applyBorder="1" applyAlignment="1">
      <alignment horizontal="center"/>
    </xf>
    <xf numFmtId="0" fontId="12" fillId="8" borderId="0" xfId="0" applyFont="1" applyFill="1" applyAlignment="1">
      <alignment horizontal="center"/>
    </xf>
    <xf numFmtId="0" fontId="7" fillId="4" borderId="4" xfId="0" applyFont="1" applyFill="1" applyBorder="1" applyAlignment="1">
      <alignment horizontal="center"/>
    </xf>
    <xf numFmtId="0" fontId="7" fillId="4" borderId="0" xfId="0" applyFont="1" applyFill="1" applyAlignment="1">
      <alignment horizontal="center"/>
    </xf>
    <xf numFmtId="49" fontId="11" fillId="0" borderId="9" xfId="0" applyNumberFormat="1" applyFont="1" applyBorder="1" applyAlignment="1">
      <alignment horizontal="left" vertical="center" wrapText="1"/>
    </xf>
    <xf numFmtId="0" fontId="13" fillId="7" borderId="1" xfId="0" applyFont="1" applyFill="1" applyBorder="1" applyAlignment="1">
      <alignment horizontal="left"/>
    </xf>
    <xf numFmtId="0" fontId="13" fillId="7" borderId="2" xfId="0" applyFont="1" applyFill="1" applyBorder="1" applyAlignment="1">
      <alignment horizontal="left"/>
    </xf>
    <xf numFmtId="0" fontId="13" fillId="7" borderId="3" xfId="0" applyFont="1" applyFill="1" applyBorder="1" applyAlignment="1">
      <alignment horizontal="left"/>
    </xf>
    <xf numFmtId="0" fontId="11" fillId="10" borderId="4" xfId="0" applyFont="1" applyFill="1" applyBorder="1" applyAlignment="1">
      <alignment horizontal="left" vertical="top" wrapText="1"/>
    </xf>
    <xf numFmtId="0" fontId="11" fillId="10" borderId="0" xfId="0" applyFont="1" applyFill="1" applyAlignment="1">
      <alignment horizontal="left" vertical="top" wrapText="1"/>
    </xf>
    <xf numFmtId="0" fontId="11" fillId="10" borderId="5" xfId="0" applyFont="1" applyFill="1" applyBorder="1" applyAlignment="1">
      <alignment horizontal="left" vertical="top" wrapText="1"/>
    </xf>
    <xf numFmtId="0" fontId="11" fillId="10" borderId="6" xfId="0" applyFont="1" applyFill="1" applyBorder="1" applyAlignment="1">
      <alignment horizontal="left" vertical="top" wrapText="1"/>
    </xf>
    <xf numFmtId="0" fontId="11" fillId="10" borderId="7" xfId="0" applyFont="1" applyFill="1" applyBorder="1" applyAlignment="1">
      <alignment horizontal="left" vertical="top" wrapText="1"/>
    </xf>
    <xf numFmtId="0" fontId="11" fillId="10" borderId="8" xfId="0" applyFont="1" applyFill="1" applyBorder="1" applyAlignment="1">
      <alignment horizontal="left" vertical="top" wrapText="1"/>
    </xf>
    <xf numFmtId="0" fontId="3" fillId="0" borderId="9" xfId="0" applyFont="1" applyBorder="1" applyAlignment="1">
      <alignment horizontal="center"/>
    </xf>
    <xf numFmtId="0" fontId="3" fillId="0" borderId="10"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0" fillId="0" borderId="9" xfId="0" applyBorder="1" applyAlignment="1">
      <alignment horizontal="center"/>
    </xf>
    <xf numFmtId="0" fontId="21" fillId="13" borderId="10" xfId="0" applyFont="1" applyFill="1" applyBorder="1" applyAlignment="1">
      <alignment horizontal="center" vertical="center" wrapText="1"/>
    </xf>
    <xf numFmtId="0" fontId="21" fillId="13" borderId="12" xfId="0" applyFont="1" applyFill="1" applyBorder="1" applyAlignment="1">
      <alignment horizontal="center" vertical="center" wrapText="1"/>
    </xf>
    <xf numFmtId="0" fontId="21" fillId="13" borderId="13" xfId="0" applyFont="1" applyFill="1" applyBorder="1" applyAlignment="1">
      <alignment horizontal="center" vertical="center" wrapText="1"/>
    </xf>
  </cellXfs>
  <cellStyles count="2">
    <cellStyle name="Moneda" xfId="1" builtinId="4"/>
    <cellStyle name="Normal" xfId="0" builtinId="0"/>
  </cellStyles>
  <dxfs count="0"/>
  <tableStyles count="0" defaultTableStyle="TableStyleMedium2" defaultPivotStyle="PivotStyleLight16"/>
  <colors>
    <mruColors>
      <color rgb="FFFFE5E5"/>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0</xdr:row>
      <xdr:rowOff>8966</xdr:rowOff>
    </xdr:from>
    <xdr:to>
      <xdr:col>7</xdr:col>
      <xdr:colOff>54909</xdr:colOff>
      <xdr:row>5</xdr:row>
      <xdr:rowOff>85308</xdr:rowOff>
    </xdr:to>
    <xdr:pic>
      <xdr:nvPicPr>
        <xdr:cNvPr id="3" name="Imagen 2">
          <a:extLst>
            <a:ext uri="{FF2B5EF4-FFF2-40B4-BE49-F238E27FC236}">
              <a16:creationId xmlns:a16="http://schemas.microsoft.com/office/drawing/2014/main" id="{451D94E2-F345-44F8-8FCA-6CA3F2E908C3}"/>
            </a:ext>
          </a:extLst>
        </xdr:cNvPr>
        <xdr:cNvPicPr>
          <a:picLocks noChangeAspect="1"/>
        </xdr:cNvPicPr>
      </xdr:nvPicPr>
      <xdr:blipFill rotWithShape="1">
        <a:blip xmlns:r="http://schemas.openxmlformats.org/officeDocument/2006/relationships" r:embed="rId1"/>
        <a:srcRect t="3012"/>
        <a:stretch/>
      </xdr:blipFill>
      <xdr:spPr>
        <a:xfrm>
          <a:off x="5396753" y="8966"/>
          <a:ext cx="1075764" cy="1062460"/>
        </a:xfrm>
        <a:prstGeom prst="rect">
          <a:avLst/>
        </a:prstGeom>
      </xdr:spPr>
    </xdr:pic>
    <xdr:clientData/>
  </xdr:twoCellAnchor>
  <xdr:oneCellAnchor>
    <xdr:from>
      <xdr:col>12</xdr:col>
      <xdr:colOff>0</xdr:colOff>
      <xdr:row>0</xdr:row>
      <xdr:rowOff>8966</xdr:rowOff>
    </xdr:from>
    <xdr:ext cx="1075764" cy="1062460"/>
    <xdr:pic>
      <xdr:nvPicPr>
        <xdr:cNvPr id="4" name="Imagen 3">
          <a:extLst>
            <a:ext uri="{FF2B5EF4-FFF2-40B4-BE49-F238E27FC236}">
              <a16:creationId xmlns:a16="http://schemas.microsoft.com/office/drawing/2014/main" id="{5773B672-D05D-4727-B43C-5D7B96AE8E7A}"/>
            </a:ext>
          </a:extLst>
        </xdr:cNvPr>
        <xdr:cNvPicPr>
          <a:picLocks noChangeAspect="1"/>
        </xdr:cNvPicPr>
      </xdr:nvPicPr>
      <xdr:blipFill rotWithShape="1">
        <a:blip xmlns:r="http://schemas.openxmlformats.org/officeDocument/2006/relationships" r:embed="rId1"/>
        <a:srcRect t="3012"/>
        <a:stretch/>
      </xdr:blipFill>
      <xdr:spPr>
        <a:xfrm>
          <a:off x="5853953" y="8966"/>
          <a:ext cx="1075764" cy="1062460"/>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6F77-531C-4D0A-A1F1-4D871BD05299}">
  <dimension ref="A1:AE6947"/>
  <sheetViews>
    <sheetView tabSelected="1" view="pageBreakPreview" topLeftCell="A227" zoomScale="85" zoomScaleNormal="85" zoomScaleSheetLayoutView="85" workbookViewId="0">
      <selection activeCell="B274" sqref="B274:F366"/>
    </sheetView>
  </sheetViews>
  <sheetFormatPr baseColWidth="10" defaultRowHeight="14.4" x14ac:dyDescent="0.3"/>
  <cols>
    <col min="1" max="1" width="10.44140625" customWidth="1"/>
    <col min="2" max="2" width="35.33203125" customWidth="1"/>
    <col min="3" max="3" width="35.44140625" customWidth="1"/>
    <col min="4" max="4" width="15.5546875" customWidth="1"/>
    <col min="5" max="5" width="40.5546875" customWidth="1"/>
    <col min="6" max="6" width="37.88671875" customWidth="1"/>
    <col min="7" max="7" width="15" customWidth="1"/>
    <col min="8" max="14" width="12.33203125" bestFit="1" customWidth="1"/>
    <col min="15" max="19" width="13.5546875" bestFit="1" customWidth="1"/>
    <col min="20" max="25" width="13.5546875" customWidth="1"/>
    <col min="26" max="26" width="5.33203125" customWidth="1"/>
    <col min="27" max="27" width="14.33203125" customWidth="1"/>
    <col min="29" max="29" width="12.33203125" customWidth="1"/>
    <col min="30" max="30" width="13.33203125" bestFit="1" customWidth="1"/>
  </cols>
  <sheetData>
    <row r="1" spans="1:31" ht="17.399999999999999" x14ac:dyDescent="0.45">
      <c r="A1" s="101" t="s">
        <v>3</v>
      </c>
      <c r="B1" s="101"/>
      <c r="C1" s="101"/>
      <c r="D1" s="101"/>
      <c r="E1" s="101"/>
      <c r="F1" s="27"/>
      <c r="G1" s="27"/>
      <c r="H1" s="27"/>
      <c r="I1" s="27"/>
      <c r="J1" s="27"/>
      <c r="K1" s="27"/>
      <c r="L1" s="27"/>
      <c r="M1" s="27"/>
      <c r="N1" s="27"/>
      <c r="O1" s="27"/>
      <c r="P1" s="27"/>
      <c r="Q1" s="27"/>
      <c r="R1" s="27"/>
      <c r="S1" s="27"/>
      <c r="T1" s="27"/>
      <c r="U1" s="27"/>
      <c r="V1" s="27"/>
      <c r="W1" s="27"/>
      <c r="X1" s="27"/>
      <c r="Y1" s="27"/>
      <c r="Z1" s="62"/>
    </row>
    <row r="2" spans="1:31" ht="15.75" customHeight="1" x14ac:dyDescent="0.4">
      <c r="A2" s="102" t="s">
        <v>19</v>
      </c>
      <c r="B2" s="103"/>
      <c r="C2" s="103"/>
      <c r="D2" s="103"/>
      <c r="E2" s="103"/>
      <c r="F2" s="27"/>
      <c r="G2" s="27"/>
      <c r="H2" s="27"/>
      <c r="I2" s="27"/>
      <c r="J2" s="27"/>
      <c r="K2" s="27"/>
      <c r="L2" s="27"/>
      <c r="M2" s="27"/>
      <c r="N2" s="27"/>
      <c r="O2" s="27"/>
      <c r="P2" s="27"/>
      <c r="Q2" s="27"/>
      <c r="R2" s="27"/>
      <c r="S2" s="27"/>
      <c r="T2" s="27"/>
      <c r="U2" s="27"/>
      <c r="V2" s="27"/>
      <c r="W2" s="27"/>
      <c r="X2" s="27"/>
      <c r="Y2" s="27"/>
      <c r="Z2" s="81"/>
    </row>
    <row r="3" spans="1:31" ht="15" customHeight="1" x14ac:dyDescent="0.3">
      <c r="A3" s="104" t="s">
        <v>6</v>
      </c>
      <c r="B3" s="105"/>
      <c r="C3" s="105"/>
      <c r="D3" s="105"/>
      <c r="E3" s="105"/>
      <c r="F3" s="27"/>
      <c r="G3" s="27"/>
      <c r="H3" s="27"/>
      <c r="I3" s="27"/>
      <c r="J3" s="27"/>
      <c r="K3" s="27"/>
      <c r="L3" s="27"/>
      <c r="M3" s="27"/>
      <c r="N3" s="27"/>
      <c r="O3" s="27"/>
      <c r="P3" s="27"/>
      <c r="Q3" s="27"/>
      <c r="R3" s="27"/>
      <c r="S3" s="27"/>
      <c r="T3" s="27"/>
      <c r="U3" s="27"/>
      <c r="V3" s="27"/>
      <c r="W3" s="27"/>
      <c r="X3" s="27"/>
      <c r="Y3" s="27"/>
      <c r="Z3" s="81"/>
    </row>
    <row r="4" spans="1:31" ht="15" customHeight="1" x14ac:dyDescent="0.45">
      <c r="A4" s="106" t="s">
        <v>20</v>
      </c>
      <c r="B4" s="107"/>
      <c r="C4" s="107"/>
      <c r="D4" s="107"/>
      <c r="E4" s="107"/>
      <c r="F4" s="27"/>
      <c r="G4" s="27"/>
      <c r="H4" s="27"/>
      <c r="I4" s="27"/>
      <c r="J4" s="27"/>
      <c r="K4" s="27"/>
      <c r="L4" s="27"/>
      <c r="M4" s="27"/>
      <c r="N4" s="27"/>
      <c r="O4" s="27"/>
      <c r="P4" s="27"/>
      <c r="Q4" s="27"/>
      <c r="R4" s="27"/>
      <c r="S4" s="27"/>
      <c r="T4" s="27"/>
      <c r="U4" s="27"/>
      <c r="V4" s="27"/>
      <c r="W4" s="27"/>
      <c r="X4" s="27"/>
      <c r="Y4" s="27"/>
      <c r="Z4" s="62"/>
    </row>
    <row r="5" spans="1:31" ht="15" customHeight="1" x14ac:dyDescent="0.3">
      <c r="A5" s="104" t="s">
        <v>7</v>
      </c>
      <c r="B5" s="105"/>
      <c r="C5" s="105"/>
      <c r="D5" s="105"/>
      <c r="E5" s="105"/>
      <c r="F5" s="27"/>
      <c r="G5" s="27"/>
      <c r="H5" s="27"/>
      <c r="I5" s="27"/>
      <c r="J5" s="27"/>
      <c r="K5" s="27"/>
      <c r="L5" s="27"/>
      <c r="M5" s="27"/>
      <c r="N5" s="27"/>
      <c r="O5" s="27"/>
      <c r="P5" s="27"/>
      <c r="Q5" s="27"/>
      <c r="R5" s="27"/>
      <c r="S5" s="27"/>
      <c r="T5" s="27"/>
      <c r="U5" s="27"/>
      <c r="V5" s="27"/>
      <c r="W5" s="27"/>
      <c r="X5" s="27"/>
      <c r="Y5" s="27"/>
      <c r="Z5" s="82"/>
    </row>
    <row r="6" spans="1:31" ht="15" customHeight="1" x14ac:dyDescent="0.3">
      <c r="A6" s="106" t="s">
        <v>21</v>
      </c>
      <c r="B6" s="107"/>
      <c r="C6" s="107"/>
      <c r="D6" s="107"/>
      <c r="E6" s="107"/>
      <c r="F6" s="27"/>
      <c r="G6" s="27"/>
      <c r="H6" s="27"/>
      <c r="I6" s="27"/>
      <c r="J6" s="27"/>
      <c r="K6" s="27"/>
      <c r="L6" s="27"/>
      <c r="M6" s="27"/>
      <c r="N6" s="27"/>
      <c r="O6" s="27"/>
      <c r="P6" s="27"/>
      <c r="Q6" s="27"/>
      <c r="R6" s="27"/>
      <c r="S6" s="27"/>
      <c r="T6" s="27"/>
      <c r="U6" s="27"/>
      <c r="V6" s="27"/>
      <c r="W6" s="27"/>
      <c r="X6" s="27"/>
      <c r="Y6" s="27"/>
      <c r="Z6" s="82"/>
    </row>
    <row r="7" spans="1:31" ht="19.2" customHeight="1" thickBot="1" x14ac:dyDescent="0.35">
      <c r="A7" s="6" t="s">
        <v>0</v>
      </c>
      <c r="B7" s="6"/>
      <c r="C7" s="7" t="s">
        <v>1</v>
      </c>
      <c r="D7" s="8"/>
      <c r="E7" s="9" t="s">
        <v>2</v>
      </c>
      <c r="F7" s="28"/>
      <c r="G7" s="28"/>
      <c r="H7" s="28"/>
      <c r="I7" s="28"/>
      <c r="J7" s="28"/>
      <c r="K7" s="28"/>
      <c r="L7" s="28"/>
      <c r="M7" s="28"/>
      <c r="N7" s="28"/>
      <c r="O7" s="28"/>
      <c r="P7" s="28"/>
      <c r="Q7" s="28"/>
      <c r="R7" s="28"/>
      <c r="S7" s="28"/>
      <c r="T7" s="28"/>
      <c r="U7" s="28"/>
      <c r="V7" s="28"/>
      <c r="W7" s="28"/>
      <c r="X7" s="28"/>
      <c r="Y7" s="28"/>
      <c r="Z7" s="28"/>
      <c r="AA7" s="28"/>
      <c r="AB7" s="28"/>
      <c r="AC7" s="28"/>
      <c r="AD7" s="28"/>
      <c r="AE7" s="28"/>
    </row>
    <row r="8" spans="1:31" ht="36.75" customHeight="1" thickBot="1" x14ac:dyDescent="0.5">
      <c r="A8" s="84"/>
      <c r="B8" s="85"/>
      <c r="C8" s="85"/>
      <c r="D8" s="85"/>
      <c r="E8" s="85"/>
      <c r="F8" s="85"/>
      <c r="G8" s="85"/>
      <c r="H8" s="85"/>
      <c r="I8" s="85"/>
      <c r="J8" s="85"/>
      <c r="K8" s="85"/>
      <c r="L8" s="85"/>
      <c r="M8" s="85"/>
      <c r="N8" s="85"/>
      <c r="O8" s="85"/>
      <c r="P8" s="85"/>
      <c r="Q8" s="85"/>
      <c r="R8" s="85"/>
      <c r="S8" s="85"/>
      <c r="T8" s="85"/>
      <c r="U8" s="85"/>
      <c r="V8" s="85"/>
      <c r="W8" s="85"/>
      <c r="X8" s="85"/>
      <c r="Y8" s="85"/>
      <c r="Z8" s="86"/>
    </row>
    <row r="9" spans="1:31" ht="36.450000000000003" customHeight="1" thickBot="1" x14ac:dyDescent="0.5">
      <c r="A9" s="84"/>
      <c r="B9" s="85"/>
      <c r="C9" s="85"/>
      <c r="D9" s="85"/>
      <c r="E9" s="86"/>
      <c r="F9" s="92" t="s">
        <v>18</v>
      </c>
      <c r="G9" s="93"/>
      <c r="H9" s="93"/>
      <c r="I9" s="93"/>
      <c r="J9" s="93"/>
      <c r="K9" s="93"/>
      <c r="L9" s="93"/>
      <c r="M9" s="93"/>
      <c r="N9" s="93"/>
      <c r="O9" s="93"/>
      <c r="P9" s="93"/>
      <c r="Q9" s="93"/>
      <c r="R9" s="93"/>
      <c r="S9" s="93"/>
      <c r="T9" s="62"/>
      <c r="U9" s="62"/>
      <c r="V9" s="62"/>
      <c r="W9" s="62"/>
      <c r="X9" s="62"/>
      <c r="Y9" s="62"/>
      <c r="Z9" s="23"/>
    </row>
    <row r="10" spans="1:31" ht="18" thickBot="1" x14ac:dyDescent="0.5">
      <c r="A10" s="87"/>
      <c r="B10" s="88"/>
      <c r="C10" s="88"/>
      <c r="D10" s="88"/>
      <c r="E10" s="89"/>
      <c r="F10" s="61" t="s">
        <v>12</v>
      </c>
      <c r="G10" s="60" t="s">
        <v>13</v>
      </c>
      <c r="H10" s="60" t="s">
        <v>14</v>
      </c>
      <c r="I10" s="60" t="s">
        <v>15</v>
      </c>
      <c r="J10" s="60" t="s">
        <v>16</v>
      </c>
      <c r="K10" s="60" t="s">
        <v>17</v>
      </c>
      <c r="L10" s="61" t="s">
        <v>22</v>
      </c>
      <c r="M10" s="60" t="s">
        <v>23</v>
      </c>
      <c r="N10" s="60" t="s">
        <v>24</v>
      </c>
      <c r="O10" s="60" t="s">
        <v>25</v>
      </c>
      <c r="P10" s="60" t="s">
        <v>26</v>
      </c>
      <c r="Q10" s="60" t="s">
        <v>27</v>
      </c>
      <c r="R10" s="60" t="s">
        <v>28</v>
      </c>
      <c r="S10" s="60" t="s">
        <v>29</v>
      </c>
      <c r="T10" s="60" t="s">
        <v>311</v>
      </c>
      <c r="U10" s="60" t="s">
        <v>312</v>
      </c>
      <c r="V10" s="60" t="s">
        <v>313</v>
      </c>
      <c r="W10" s="60" t="s">
        <v>314</v>
      </c>
      <c r="X10" s="60" t="s">
        <v>315</v>
      </c>
      <c r="Y10" s="60" t="s">
        <v>316</v>
      </c>
      <c r="Z10" s="23"/>
    </row>
    <row r="11" spans="1:31" ht="18" thickBot="1" x14ac:dyDescent="0.5">
      <c r="A11" s="90"/>
      <c r="B11" s="91"/>
      <c r="C11" s="91"/>
      <c r="D11" s="91"/>
      <c r="E11" s="91"/>
      <c r="F11" s="56"/>
      <c r="G11" s="56"/>
      <c r="H11" s="56"/>
      <c r="I11" s="56"/>
      <c r="J11" s="56"/>
      <c r="K11" s="56"/>
      <c r="L11" s="56"/>
      <c r="M11" s="56"/>
      <c r="N11" s="56"/>
      <c r="O11" s="56"/>
      <c r="P11" s="56"/>
      <c r="Q11" s="56"/>
      <c r="R11" s="56"/>
      <c r="S11" s="56"/>
      <c r="T11" s="73"/>
      <c r="U11" s="73"/>
      <c r="V11" s="73"/>
      <c r="W11" s="73"/>
      <c r="X11" s="73"/>
      <c r="Y11" s="73"/>
      <c r="Z11" s="23"/>
    </row>
    <row r="12" spans="1:31" ht="24.45" customHeight="1" x14ac:dyDescent="0.45">
      <c r="A12" s="29" t="s">
        <v>40</v>
      </c>
      <c r="B12" s="30"/>
      <c r="C12" s="30"/>
      <c r="D12" s="30"/>
      <c r="E12" s="30"/>
      <c r="F12" s="57"/>
      <c r="G12" s="57"/>
      <c r="H12" s="57"/>
      <c r="I12" s="57"/>
      <c r="J12" s="57"/>
      <c r="K12" s="57"/>
      <c r="L12" s="57"/>
      <c r="M12" s="57"/>
      <c r="N12" s="57"/>
      <c r="O12" s="57"/>
      <c r="P12" s="57"/>
      <c r="Q12" s="57"/>
      <c r="R12" s="57"/>
      <c r="S12" s="57"/>
      <c r="T12" s="57"/>
      <c r="U12" s="57"/>
      <c r="V12" s="57"/>
      <c r="W12" s="57"/>
      <c r="X12" s="57"/>
      <c r="Y12" s="57"/>
      <c r="Z12" s="57"/>
    </row>
    <row r="13" spans="1:31" x14ac:dyDescent="0.3">
      <c r="A13" s="83" t="s">
        <v>8</v>
      </c>
      <c r="B13" s="83"/>
      <c r="C13" s="33"/>
      <c r="D13" s="33"/>
      <c r="E13" s="54"/>
      <c r="F13" s="33"/>
      <c r="G13" s="33"/>
      <c r="H13" s="33"/>
      <c r="I13" s="33"/>
      <c r="J13" s="33"/>
      <c r="K13" s="33"/>
      <c r="L13" s="33"/>
      <c r="M13" s="33"/>
      <c r="N13" s="33"/>
      <c r="O13" s="33"/>
      <c r="P13" s="33"/>
      <c r="Q13" s="33"/>
      <c r="R13" s="33"/>
      <c r="S13" s="33"/>
      <c r="T13" s="33"/>
      <c r="U13" s="33"/>
      <c r="V13" s="33"/>
      <c r="W13" s="33"/>
      <c r="X13" s="33"/>
      <c r="Y13" s="33"/>
      <c r="Z13" s="33"/>
    </row>
    <row r="14" spans="1:31" x14ac:dyDescent="0.3">
      <c r="A14" s="83" t="s">
        <v>9</v>
      </c>
      <c r="B14" s="83"/>
      <c r="C14" s="34"/>
      <c r="D14" s="34"/>
      <c r="E14" s="55"/>
      <c r="F14" s="34"/>
      <c r="G14" s="34"/>
      <c r="H14" s="34"/>
      <c r="I14" s="34"/>
      <c r="J14" s="34"/>
      <c r="K14" s="34"/>
      <c r="L14" s="34"/>
      <c r="M14" s="34"/>
      <c r="N14" s="34"/>
      <c r="O14" s="34"/>
      <c r="P14" s="34"/>
      <c r="Q14" s="34"/>
      <c r="S14" s="34"/>
      <c r="T14" s="34"/>
      <c r="U14" s="34"/>
      <c r="V14" s="34"/>
      <c r="W14" s="34"/>
      <c r="X14" s="34"/>
      <c r="Y14" s="34"/>
      <c r="Z14" s="34"/>
    </row>
    <row r="15" spans="1:31" x14ac:dyDescent="0.3">
      <c r="A15" s="83" t="s">
        <v>10</v>
      </c>
      <c r="B15" s="83"/>
      <c r="C15" s="34"/>
      <c r="D15" s="34"/>
      <c r="E15" s="55"/>
      <c r="F15" s="34"/>
      <c r="G15" s="34"/>
      <c r="H15" s="34"/>
      <c r="I15" s="34"/>
      <c r="J15" s="34"/>
      <c r="K15" s="34"/>
      <c r="L15" s="34"/>
      <c r="M15" s="34"/>
      <c r="N15" s="34"/>
      <c r="O15" s="34"/>
      <c r="P15" s="34"/>
      <c r="Q15" s="34"/>
      <c r="R15" s="34"/>
      <c r="S15" s="34"/>
      <c r="T15" s="34"/>
      <c r="U15" s="34"/>
      <c r="V15" s="34"/>
      <c r="W15" s="34"/>
      <c r="X15" s="34"/>
      <c r="Y15" s="34"/>
      <c r="Z15" s="34"/>
    </row>
    <row r="16" spans="1:31" ht="17.399999999999999" x14ac:dyDescent="0.45">
      <c r="A16" s="31" t="str">
        <f>A2</f>
        <v xml:space="preserve">CAMPO </v>
      </c>
      <c r="B16" s="32"/>
      <c r="C16" s="32"/>
      <c r="D16" s="32"/>
      <c r="E16" s="32"/>
      <c r="F16" s="57"/>
      <c r="G16" s="57"/>
      <c r="H16" s="57"/>
      <c r="I16" s="57"/>
      <c r="J16" s="57"/>
      <c r="K16" s="57"/>
      <c r="L16" s="57"/>
      <c r="M16" s="57"/>
      <c r="N16" s="57"/>
      <c r="O16" s="57"/>
      <c r="P16" s="57"/>
      <c r="Q16" s="57"/>
      <c r="R16" s="34"/>
      <c r="S16" s="57"/>
      <c r="T16" s="57"/>
      <c r="U16" s="57"/>
      <c r="V16" s="57"/>
      <c r="W16" s="57"/>
      <c r="X16" s="57"/>
      <c r="Y16" s="57"/>
      <c r="Z16" s="57"/>
    </row>
    <row r="17" spans="1:27" s="69" customFormat="1" ht="32.25" customHeight="1" x14ac:dyDescent="0.3">
      <c r="A17" s="95" t="s">
        <v>30</v>
      </c>
      <c r="B17" s="96"/>
      <c r="C17" s="96"/>
      <c r="D17" s="97"/>
      <c r="E17" s="64"/>
      <c r="F17" s="65"/>
      <c r="G17" s="65"/>
      <c r="H17" s="65"/>
      <c r="I17" s="65"/>
      <c r="J17" s="65"/>
      <c r="K17" s="65"/>
      <c r="L17" s="65"/>
      <c r="M17" s="65"/>
      <c r="N17" s="65"/>
      <c r="O17" s="65"/>
      <c r="P17" s="65"/>
      <c r="Q17" s="65"/>
      <c r="R17" s="65"/>
      <c r="S17" s="66"/>
      <c r="T17" s="66"/>
      <c r="U17" s="66"/>
      <c r="V17" s="66"/>
      <c r="W17" s="66"/>
      <c r="X17" s="66"/>
      <c r="Y17" s="66"/>
      <c r="Z17" s="67"/>
      <c r="AA17" s="68"/>
    </row>
    <row r="18" spans="1:27" ht="32.25" customHeight="1" x14ac:dyDescent="0.3">
      <c r="A18" s="35"/>
      <c r="B18" s="94" t="s">
        <v>31</v>
      </c>
      <c r="C18" s="76"/>
      <c r="D18" s="77"/>
      <c r="E18" s="38"/>
      <c r="F18" s="34"/>
      <c r="G18" s="34"/>
      <c r="H18" s="34"/>
      <c r="I18" s="34"/>
      <c r="J18" s="34"/>
      <c r="K18" s="34"/>
      <c r="L18" s="34"/>
      <c r="M18" s="34"/>
      <c r="N18" s="34"/>
      <c r="O18" s="34"/>
      <c r="P18" s="34"/>
      <c r="Q18" s="34"/>
      <c r="R18" s="34"/>
      <c r="S18" s="34"/>
      <c r="T18" s="34"/>
      <c r="U18" s="34"/>
      <c r="V18" s="34"/>
      <c r="W18" s="34"/>
      <c r="X18" s="34"/>
      <c r="Y18" s="34"/>
      <c r="Z18" s="39"/>
      <c r="AA18" s="10"/>
    </row>
    <row r="19" spans="1:27" ht="32.25" customHeight="1" x14ac:dyDescent="0.3">
      <c r="A19" s="35"/>
      <c r="B19" s="94" t="s">
        <v>32</v>
      </c>
      <c r="C19" s="76"/>
      <c r="D19" s="77"/>
      <c r="E19" s="38"/>
      <c r="F19" s="34"/>
      <c r="G19" s="34"/>
      <c r="H19" s="34"/>
      <c r="I19" s="34"/>
      <c r="J19" s="34"/>
      <c r="K19" s="34"/>
      <c r="L19" s="34"/>
      <c r="M19" s="34"/>
      <c r="N19" s="34"/>
      <c r="O19" s="34"/>
      <c r="P19" s="34"/>
      <c r="Q19" s="34"/>
      <c r="R19" s="34"/>
      <c r="S19" s="34"/>
      <c r="T19" s="34"/>
      <c r="U19" s="34"/>
      <c r="V19" s="34"/>
      <c r="W19" s="34"/>
      <c r="X19" s="34"/>
      <c r="Y19" s="34"/>
      <c r="Z19" s="40"/>
      <c r="AA19" s="10"/>
    </row>
    <row r="20" spans="1:27" ht="32.25" customHeight="1" x14ac:dyDescent="0.3">
      <c r="A20" s="35"/>
      <c r="B20" s="94" t="s">
        <v>33</v>
      </c>
      <c r="C20" s="76"/>
      <c r="D20" s="77"/>
      <c r="E20" s="38"/>
      <c r="F20" s="34"/>
      <c r="G20" s="34"/>
      <c r="H20" s="34"/>
      <c r="I20" s="34"/>
      <c r="J20" s="34"/>
      <c r="K20" s="34"/>
      <c r="L20" s="34"/>
      <c r="M20" s="34"/>
      <c r="N20" s="34"/>
      <c r="O20" s="34"/>
      <c r="P20" s="34"/>
      <c r="Q20" s="34"/>
      <c r="R20" s="34"/>
      <c r="S20" s="34"/>
      <c r="T20" s="34"/>
      <c r="U20" s="34"/>
      <c r="V20" s="34"/>
      <c r="W20" s="34"/>
      <c r="X20" s="34"/>
      <c r="Y20" s="34"/>
      <c r="Z20" s="40"/>
      <c r="AA20" s="10"/>
    </row>
    <row r="21" spans="1:27" ht="32.25" customHeight="1" x14ac:dyDescent="0.3">
      <c r="A21" s="35"/>
      <c r="B21" s="94" t="s">
        <v>34</v>
      </c>
      <c r="C21" s="76"/>
      <c r="D21" s="77"/>
      <c r="E21" s="38"/>
      <c r="F21" s="34"/>
      <c r="G21" s="34"/>
      <c r="H21" s="34"/>
      <c r="I21" s="34"/>
      <c r="J21" s="34"/>
      <c r="K21" s="34"/>
      <c r="L21" s="34"/>
      <c r="M21" s="34"/>
      <c r="N21" s="34"/>
      <c r="O21" s="34"/>
      <c r="P21" s="34"/>
      <c r="Q21" s="34"/>
      <c r="R21" s="34"/>
      <c r="S21" s="34"/>
      <c r="T21" s="34"/>
      <c r="U21" s="34"/>
      <c r="V21" s="34"/>
      <c r="W21" s="34"/>
      <c r="X21" s="34"/>
      <c r="Y21" s="34"/>
      <c r="Z21" s="39"/>
      <c r="AA21" s="10"/>
    </row>
    <row r="22" spans="1:27" ht="32.25" customHeight="1" x14ac:dyDescent="0.3">
      <c r="A22" s="35"/>
      <c r="B22" s="94" t="s">
        <v>35</v>
      </c>
      <c r="C22" s="76"/>
      <c r="D22" s="77"/>
      <c r="E22" s="38"/>
      <c r="F22" s="34"/>
      <c r="G22" s="34"/>
      <c r="H22" s="34"/>
      <c r="I22" s="34"/>
      <c r="J22" s="34"/>
      <c r="K22" s="34"/>
      <c r="L22" s="34"/>
      <c r="M22" s="34"/>
      <c r="N22" s="34"/>
      <c r="O22" s="34"/>
      <c r="P22" s="34"/>
      <c r="Q22" s="34"/>
      <c r="R22" s="34"/>
      <c r="S22" s="34"/>
      <c r="T22" s="34"/>
      <c r="U22" s="34"/>
      <c r="V22" s="34"/>
      <c r="W22" s="34"/>
      <c r="X22" s="34"/>
      <c r="Y22" s="34"/>
      <c r="Z22" s="39"/>
      <c r="AA22" s="10"/>
    </row>
    <row r="23" spans="1:27" ht="32.25" customHeight="1" x14ac:dyDescent="0.3">
      <c r="A23" s="35"/>
      <c r="B23" s="94" t="s">
        <v>36</v>
      </c>
      <c r="C23" s="76"/>
      <c r="D23" s="77"/>
      <c r="E23" s="38"/>
      <c r="F23" s="34"/>
      <c r="G23" s="34"/>
      <c r="H23" s="34"/>
      <c r="I23" s="34"/>
      <c r="J23" s="34"/>
      <c r="K23" s="34"/>
      <c r="L23" s="34"/>
      <c r="M23" s="34"/>
      <c r="N23" s="34"/>
      <c r="O23" s="34"/>
      <c r="P23" s="34"/>
      <c r="Q23" s="34"/>
      <c r="R23" s="34"/>
      <c r="S23" s="34"/>
      <c r="T23" s="34"/>
      <c r="U23" s="34"/>
      <c r="V23" s="34"/>
      <c r="W23" s="34"/>
      <c r="X23" s="34"/>
      <c r="Y23" s="34"/>
      <c r="Z23" s="39"/>
      <c r="AA23" s="10"/>
    </row>
    <row r="24" spans="1:27" ht="32.25" customHeight="1" x14ac:dyDescent="0.3">
      <c r="A24" s="35"/>
      <c r="B24" s="94" t="s">
        <v>37</v>
      </c>
      <c r="C24" s="76"/>
      <c r="D24" s="77"/>
      <c r="E24" s="38"/>
      <c r="F24" s="34"/>
      <c r="G24" s="34"/>
      <c r="H24" s="34"/>
      <c r="I24" s="34"/>
      <c r="J24" s="34"/>
      <c r="K24" s="34"/>
      <c r="L24" s="34"/>
      <c r="M24" s="34"/>
      <c r="N24" s="34"/>
      <c r="O24" s="34"/>
      <c r="P24" s="34"/>
      <c r="Q24" s="34"/>
      <c r="R24" s="34"/>
      <c r="S24" s="34"/>
      <c r="T24" s="34"/>
      <c r="U24" s="34"/>
      <c r="V24" s="34"/>
      <c r="W24" s="34"/>
      <c r="X24" s="34"/>
      <c r="Y24" s="34"/>
      <c r="Z24" s="39"/>
      <c r="AA24" s="10"/>
    </row>
    <row r="25" spans="1:27" ht="32.25" customHeight="1" x14ac:dyDescent="0.3">
      <c r="A25" s="35"/>
      <c r="B25" s="94" t="s">
        <v>38</v>
      </c>
      <c r="C25" s="76"/>
      <c r="D25" s="77"/>
      <c r="E25" s="38"/>
      <c r="F25" s="34"/>
      <c r="G25" s="34"/>
      <c r="H25" s="34"/>
      <c r="I25" s="34"/>
      <c r="J25" s="34"/>
      <c r="K25" s="34"/>
      <c r="L25" s="34"/>
      <c r="M25" s="34"/>
      <c r="N25" s="34"/>
      <c r="O25" s="34"/>
      <c r="P25" s="34"/>
      <c r="Q25" s="34"/>
      <c r="R25" s="34"/>
      <c r="S25" s="34"/>
      <c r="T25" s="34"/>
      <c r="U25" s="34"/>
      <c r="V25" s="34"/>
      <c r="W25" s="34"/>
      <c r="X25" s="34"/>
      <c r="Y25" s="34"/>
      <c r="Z25" s="39"/>
      <c r="AA25" s="10"/>
    </row>
    <row r="26" spans="1:27" ht="15.6" x14ac:dyDescent="0.3">
      <c r="A26" s="98" t="s">
        <v>41</v>
      </c>
      <c r="B26" s="99"/>
      <c r="C26" s="99"/>
      <c r="D26" s="100"/>
      <c r="E26" s="34"/>
      <c r="F26" s="34"/>
      <c r="G26" s="34"/>
      <c r="H26" s="41"/>
      <c r="I26" s="34"/>
      <c r="J26" s="34"/>
      <c r="K26" s="34"/>
      <c r="L26" s="34"/>
      <c r="M26" s="34"/>
      <c r="N26" s="41"/>
      <c r="O26" s="34"/>
      <c r="P26" s="34"/>
      <c r="Q26" s="34"/>
      <c r="R26" s="34"/>
      <c r="S26" s="34"/>
      <c r="T26" s="34"/>
      <c r="U26" s="34"/>
      <c r="V26" s="34"/>
      <c r="W26" s="34"/>
      <c r="X26" s="34"/>
      <c r="Y26" s="34"/>
      <c r="Z26" s="34"/>
      <c r="AA26" s="10"/>
    </row>
    <row r="27" spans="1:27" ht="32.25" customHeight="1" x14ac:dyDescent="0.3">
      <c r="A27" s="36"/>
      <c r="B27" s="94" t="s">
        <v>39</v>
      </c>
      <c r="C27" s="76"/>
      <c r="D27" s="77"/>
      <c r="E27" s="38"/>
      <c r="F27" s="34"/>
      <c r="G27" s="34"/>
      <c r="H27" s="41"/>
      <c r="I27" s="34"/>
      <c r="J27" s="34"/>
      <c r="K27" s="34"/>
      <c r="L27" s="34"/>
      <c r="M27" s="34"/>
      <c r="N27" s="41"/>
      <c r="O27" s="34"/>
      <c r="P27" s="34"/>
      <c r="Q27" s="34"/>
      <c r="R27" s="34"/>
      <c r="S27" s="34"/>
      <c r="T27" s="34"/>
      <c r="U27" s="34"/>
      <c r="V27" s="34"/>
      <c r="W27" s="34"/>
      <c r="X27" s="34"/>
      <c r="Y27" s="34"/>
      <c r="Z27" s="42"/>
      <c r="AA27" s="10"/>
    </row>
    <row r="28" spans="1:27" s="69" customFormat="1" ht="32.25" customHeight="1" x14ac:dyDescent="0.3">
      <c r="A28" s="95" t="s">
        <v>320</v>
      </c>
      <c r="B28" s="96"/>
      <c r="C28" s="96"/>
      <c r="D28" s="97"/>
      <c r="E28" s="64"/>
      <c r="F28" s="65"/>
      <c r="G28" s="65"/>
      <c r="H28" s="65"/>
      <c r="I28" s="65"/>
      <c r="J28" s="65"/>
      <c r="K28" s="65"/>
      <c r="L28" s="65"/>
      <c r="M28" s="65"/>
      <c r="N28" s="65"/>
      <c r="O28" s="65"/>
      <c r="P28" s="65"/>
      <c r="Q28" s="65"/>
      <c r="R28" s="65"/>
      <c r="S28" s="66"/>
      <c r="T28" s="66"/>
      <c r="U28" s="66"/>
      <c r="V28" s="66"/>
      <c r="W28" s="66"/>
      <c r="X28" s="66"/>
      <c r="Y28" s="66"/>
      <c r="Z28" s="67"/>
      <c r="AA28" s="68"/>
    </row>
    <row r="29" spans="1:27" ht="153.75" customHeight="1" x14ac:dyDescent="0.3">
      <c r="A29" s="94" t="s">
        <v>42</v>
      </c>
      <c r="B29" s="76"/>
      <c r="C29" s="76"/>
      <c r="D29" s="77"/>
      <c r="E29" s="38"/>
      <c r="F29" s="58"/>
      <c r="G29" s="34"/>
      <c r="H29" s="34"/>
      <c r="I29" s="34"/>
      <c r="J29" s="34"/>
      <c r="K29" s="34"/>
      <c r="L29" s="34"/>
      <c r="M29" s="34"/>
      <c r="N29" s="34"/>
      <c r="O29" s="34"/>
      <c r="P29" s="34"/>
      <c r="Q29" s="34"/>
      <c r="R29" s="34"/>
      <c r="S29" s="41"/>
      <c r="T29" s="41"/>
      <c r="U29" s="41"/>
      <c r="V29" s="41"/>
      <c r="W29" s="41"/>
      <c r="X29" s="41"/>
      <c r="Y29" s="41"/>
      <c r="Z29" s="42"/>
      <c r="AA29" s="10"/>
    </row>
    <row r="30" spans="1:27" ht="127.5" customHeight="1" x14ac:dyDescent="0.3">
      <c r="A30" s="94" t="s">
        <v>43</v>
      </c>
      <c r="B30" s="76"/>
      <c r="C30" s="76"/>
      <c r="D30" s="77"/>
      <c r="E30" s="43"/>
      <c r="F30" s="58"/>
      <c r="G30" s="34"/>
      <c r="H30" s="34"/>
      <c r="I30" s="34"/>
      <c r="J30" s="34"/>
      <c r="K30" s="34"/>
      <c r="L30" s="34"/>
      <c r="M30" s="34"/>
      <c r="N30" s="34"/>
      <c r="O30" s="34"/>
      <c r="P30" s="34"/>
      <c r="Q30" s="34"/>
      <c r="R30" s="34"/>
      <c r="S30" s="41"/>
      <c r="T30" s="41"/>
      <c r="U30" s="41"/>
      <c r="V30" s="41"/>
      <c r="W30" s="41"/>
      <c r="X30" s="41"/>
      <c r="Y30" s="41"/>
      <c r="Z30" s="42"/>
      <c r="AA30" s="10"/>
    </row>
    <row r="31" spans="1:27" ht="133.5" customHeight="1" x14ac:dyDescent="0.3">
      <c r="A31" s="94" t="s">
        <v>44</v>
      </c>
      <c r="B31" s="76"/>
      <c r="C31" s="76"/>
      <c r="D31" s="77"/>
      <c r="E31" s="38"/>
      <c r="F31" s="58"/>
      <c r="G31" s="34"/>
      <c r="H31" s="34"/>
      <c r="I31" s="34"/>
      <c r="J31" s="34"/>
      <c r="K31" s="34"/>
      <c r="L31" s="34"/>
      <c r="M31" s="34"/>
      <c r="N31" s="34"/>
      <c r="O31" s="34"/>
      <c r="P31" s="34"/>
      <c r="Q31" s="34"/>
      <c r="R31" s="34"/>
      <c r="S31" s="41"/>
      <c r="T31" s="41"/>
      <c r="U31" s="41"/>
      <c r="V31" s="41"/>
      <c r="W31" s="41"/>
      <c r="X31" s="41"/>
      <c r="Y31" s="41"/>
      <c r="Z31" s="44"/>
      <c r="AA31" s="10"/>
    </row>
    <row r="32" spans="1:27" ht="133.5" customHeight="1" x14ac:dyDescent="0.3">
      <c r="A32" s="94" t="s">
        <v>45</v>
      </c>
      <c r="B32" s="76"/>
      <c r="C32" s="76"/>
      <c r="D32" s="77"/>
      <c r="E32" s="38"/>
      <c r="F32" s="58"/>
      <c r="G32" s="34"/>
      <c r="H32" s="34"/>
      <c r="I32" s="34"/>
      <c r="J32" s="34"/>
      <c r="K32" s="34"/>
      <c r="L32" s="34"/>
      <c r="M32" s="34"/>
      <c r="N32" s="34"/>
      <c r="O32" s="34"/>
      <c r="P32" s="34"/>
      <c r="Q32" s="34"/>
      <c r="R32" s="34"/>
      <c r="S32" s="41"/>
      <c r="T32" s="41"/>
      <c r="U32" s="41"/>
      <c r="V32" s="41"/>
      <c r="W32" s="41"/>
      <c r="X32" s="41"/>
      <c r="Y32" s="41"/>
      <c r="Z32" s="44"/>
      <c r="AA32" s="10"/>
    </row>
    <row r="33" spans="1:27" ht="134.69999999999999" customHeight="1" x14ac:dyDescent="0.3">
      <c r="A33" s="94" t="s">
        <v>46</v>
      </c>
      <c r="B33" s="76"/>
      <c r="C33" s="76"/>
      <c r="D33" s="77"/>
      <c r="E33" s="38"/>
      <c r="F33" s="58"/>
      <c r="G33" s="34"/>
      <c r="H33" s="34"/>
      <c r="I33" s="34"/>
      <c r="J33" s="34"/>
      <c r="K33" s="34"/>
      <c r="L33" s="34"/>
      <c r="M33" s="34"/>
      <c r="N33" s="34"/>
      <c r="O33" s="34"/>
      <c r="P33" s="34"/>
      <c r="Q33" s="34"/>
      <c r="R33" s="34"/>
      <c r="S33" s="41"/>
      <c r="T33" s="41"/>
      <c r="U33" s="41"/>
      <c r="V33" s="41"/>
      <c r="W33" s="41"/>
      <c r="X33" s="41"/>
      <c r="Y33" s="41"/>
      <c r="Z33" s="44"/>
      <c r="AA33" s="10"/>
    </row>
    <row r="34" spans="1:27" ht="134.69999999999999" customHeight="1" x14ac:dyDescent="0.3">
      <c r="A34" s="94" t="s">
        <v>47</v>
      </c>
      <c r="B34" s="76"/>
      <c r="C34" s="76"/>
      <c r="D34" s="77"/>
      <c r="E34" s="38"/>
      <c r="F34" s="58"/>
      <c r="G34" s="34"/>
      <c r="H34" s="34"/>
      <c r="I34" s="34"/>
      <c r="J34" s="34"/>
      <c r="K34" s="34"/>
      <c r="L34" s="34"/>
      <c r="M34" s="34"/>
      <c r="N34" s="34"/>
      <c r="O34" s="34"/>
      <c r="P34" s="34"/>
      <c r="Q34" s="34"/>
      <c r="R34" s="34"/>
      <c r="S34" s="41"/>
      <c r="T34" s="41"/>
      <c r="U34" s="41"/>
      <c r="V34" s="41"/>
      <c r="W34" s="41"/>
      <c r="X34" s="41"/>
      <c r="Y34" s="41"/>
      <c r="Z34" s="44"/>
      <c r="AA34" s="10"/>
    </row>
    <row r="35" spans="1:27" s="69" customFormat="1" ht="32.25" customHeight="1" x14ac:dyDescent="0.3">
      <c r="A35" s="95" t="s">
        <v>49</v>
      </c>
      <c r="B35" s="96"/>
      <c r="C35" s="96"/>
      <c r="D35" s="97"/>
      <c r="E35" s="64"/>
      <c r="F35" s="65"/>
      <c r="G35" s="65"/>
      <c r="H35" s="65"/>
      <c r="I35" s="65"/>
      <c r="J35" s="65"/>
      <c r="K35" s="65"/>
      <c r="L35" s="65"/>
      <c r="M35" s="65"/>
      <c r="N35" s="65"/>
      <c r="O35" s="65"/>
      <c r="P35" s="65"/>
      <c r="Q35" s="65"/>
      <c r="R35" s="65"/>
      <c r="S35" s="66"/>
      <c r="T35" s="66"/>
      <c r="U35" s="66"/>
      <c r="V35" s="66"/>
      <c r="W35" s="66"/>
      <c r="X35" s="66"/>
      <c r="Y35" s="66"/>
      <c r="Z35" s="67"/>
      <c r="AA35" s="68"/>
    </row>
    <row r="36" spans="1:27" ht="112.5" customHeight="1" x14ac:dyDescent="0.3">
      <c r="A36" s="63"/>
      <c r="B36" s="94" t="s">
        <v>50</v>
      </c>
      <c r="C36" s="76"/>
      <c r="D36" s="76"/>
      <c r="E36" s="36"/>
      <c r="F36" s="70"/>
      <c r="G36" s="70"/>
      <c r="H36" s="36"/>
      <c r="I36" s="36"/>
      <c r="J36" s="36"/>
      <c r="K36" s="36"/>
      <c r="L36" s="36"/>
      <c r="M36" s="36"/>
      <c r="N36" s="36"/>
      <c r="O36" s="36"/>
      <c r="P36" s="36"/>
      <c r="Q36" s="36"/>
      <c r="R36" s="36"/>
      <c r="S36" s="41"/>
      <c r="T36" s="41"/>
      <c r="U36" s="41"/>
      <c r="V36" s="41"/>
      <c r="W36" s="41"/>
      <c r="X36" s="41"/>
      <c r="Y36" s="41"/>
      <c r="Z36" s="44"/>
      <c r="AA36" s="10"/>
    </row>
    <row r="37" spans="1:27" ht="66.45" customHeight="1" x14ac:dyDescent="0.3">
      <c r="A37" s="63"/>
      <c r="B37" s="94" t="s">
        <v>51</v>
      </c>
      <c r="C37" s="76"/>
      <c r="D37" s="76"/>
      <c r="E37" s="36"/>
      <c r="F37" s="70"/>
      <c r="G37" s="70"/>
      <c r="H37" s="36"/>
      <c r="I37" s="36"/>
      <c r="J37" s="36"/>
      <c r="K37" s="36"/>
      <c r="L37" s="36"/>
      <c r="M37" s="36"/>
      <c r="N37" s="36"/>
      <c r="O37" s="36"/>
      <c r="P37" s="36"/>
      <c r="Q37" s="36"/>
      <c r="R37" s="36"/>
      <c r="S37" s="41"/>
      <c r="T37" s="41"/>
      <c r="U37" s="41"/>
      <c r="V37" s="41"/>
      <c r="W37" s="41"/>
      <c r="X37" s="41"/>
      <c r="Y37" s="41"/>
      <c r="Z37" s="42"/>
      <c r="AA37" s="10"/>
    </row>
    <row r="38" spans="1:27" ht="67.2" customHeight="1" x14ac:dyDescent="0.3">
      <c r="A38" s="63"/>
      <c r="B38" s="94" t="s">
        <v>52</v>
      </c>
      <c r="C38" s="76"/>
      <c r="D38" s="76"/>
      <c r="E38" s="36"/>
      <c r="F38" s="70"/>
      <c r="G38" s="70"/>
      <c r="H38" s="36"/>
      <c r="I38" s="36"/>
      <c r="J38" s="36"/>
      <c r="K38" s="36"/>
      <c r="L38" s="36"/>
      <c r="M38" s="36"/>
      <c r="N38" s="36"/>
      <c r="O38" s="36"/>
      <c r="P38" s="36"/>
      <c r="Q38" s="36"/>
      <c r="R38" s="36"/>
      <c r="S38" s="41"/>
      <c r="T38" s="41"/>
      <c r="U38" s="41"/>
      <c r="V38" s="41"/>
      <c r="W38" s="41"/>
      <c r="X38" s="41"/>
      <c r="Y38" s="41"/>
      <c r="Z38" s="42"/>
      <c r="AA38" s="10"/>
    </row>
    <row r="39" spans="1:27" ht="55.2" customHeight="1" x14ac:dyDescent="0.3">
      <c r="A39" s="63"/>
      <c r="B39" s="94" t="s">
        <v>53</v>
      </c>
      <c r="C39" s="76"/>
      <c r="D39" s="76"/>
      <c r="E39" s="36"/>
      <c r="F39" s="70"/>
      <c r="G39" s="70"/>
      <c r="H39" s="36"/>
      <c r="I39" s="36"/>
      <c r="J39" s="36"/>
      <c r="K39" s="36"/>
      <c r="L39" s="36"/>
      <c r="M39" s="36"/>
      <c r="N39" s="36"/>
      <c r="O39" s="36"/>
      <c r="P39" s="36"/>
      <c r="Q39" s="36"/>
      <c r="R39" s="36"/>
      <c r="S39" s="41"/>
      <c r="T39" s="41"/>
      <c r="U39" s="41"/>
      <c r="V39" s="41"/>
      <c r="W39" s="41"/>
      <c r="X39" s="41"/>
      <c r="Y39" s="41"/>
      <c r="Z39" s="44"/>
      <c r="AA39" s="10"/>
    </row>
    <row r="40" spans="1:27" ht="78.45" customHeight="1" x14ac:dyDescent="0.3">
      <c r="A40" s="63"/>
      <c r="B40" s="94" t="s">
        <v>54</v>
      </c>
      <c r="C40" s="76"/>
      <c r="D40" s="76"/>
      <c r="E40" s="36"/>
      <c r="F40" s="70"/>
      <c r="G40" s="70"/>
      <c r="H40" s="36"/>
      <c r="I40" s="36"/>
      <c r="J40" s="36"/>
      <c r="K40" s="36"/>
      <c r="L40" s="36"/>
      <c r="M40" s="36"/>
      <c r="N40" s="36"/>
      <c r="O40" s="36"/>
      <c r="P40" s="36"/>
      <c r="Q40" s="36"/>
      <c r="R40" s="36"/>
      <c r="S40" s="41"/>
      <c r="T40" s="41"/>
      <c r="U40" s="41"/>
      <c r="V40" s="41"/>
      <c r="W40" s="41"/>
      <c r="X40" s="41"/>
      <c r="Y40" s="41"/>
      <c r="Z40" s="44"/>
      <c r="AA40" s="10"/>
    </row>
    <row r="41" spans="1:27" s="69" customFormat="1" ht="32.25" customHeight="1" x14ac:dyDescent="0.3">
      <c r="A41" s="95" t="s">
        <v>55</v>
      </c>
      <c r="B41" s="96"/>
      <c r="C41" s="96"/>
      <c r="D41" s="97"/>
      <c r="E41" s="64"/>
      <c r="F41" s="65"/>
      <c r="G41" s="65"/>
      <c r="H41" s="65"/>
      <c r="I41" s="65"/>
      <c r="J41" s="65"/>
      <c r="K41" s="65"/>
      <c r="L41" s="65"/>
      <c r="M41" s="65"/>
      <c r="N41" s="65"/>
      <c r="O41" s="65"/>
      <c r="P41" s="65"/>
      <c r="Q41" s="65"/>
      <c r="R41" s="65"/>
      <c r="S41" s="66"/>
      <c r="T41" s="66"/>
      <c r="U41" s="66"/>
      <c r="V41" s="66"/>
      <c r="W41" s="66"/>
      <c r="X41" s="66"/>
      <c r="Y41" s="66"/>
      <c r="Z41" s="67"/>
      <c r="AA41" s="68"/>
    </row>
    <row r="42" spans="1:27" ht="58.5" customHeight="1" x14ac:dyDescent="0.3">
      <c r="A42" s="63"/>
      <c r="B42" s="94" t="s">
        <v>56</v>
      </c>
      <c r="C42" s="76"/>
      <c r="D42" s="76"/>
      <c r="E42" s="36"/>
      <c r="F42" s="36"/>
      <c r="G42" s="70"/>
      <c r="H42" s="36"/>
      <c r="I42" s="70"/>
      <c r="J42" s="36"/>
      <c r="K42" s="36"/>
      <c r="L42" s="36"/>
      <c r="M42" s="36"/>
      <c r="N42" s="36"/>
      <c r="O42" s="36"/>
      <c r="P42" s="36"/>
      <c r="Q42" s="36"/>
      <c r="R42" s="36"/>
      <c r="S42" s="41"/>
      <c r="T42" s="41"/>
      <c r="U42" s="41"/>
      <c r="V42" s="41"/>
      <c r="W42" s="41"/>
      <c r="X42" s="41"/>
      <c r="Y42" s="41"/>
      <c r="Z42" s="44"/>
      <c r="AA42" s="10"/>
    </row>
    <row r="43" spans="1:27" ht="58.5" customHeight="1" x14ac:dyDescent="0.3">
      <c r="A43" s="63"/>
      <c r="B43" s="94" t="s">
        <v>57</v>
      </c>
      <c r="C43" s="76"/>
      <c r="D43" s="76"/>
      <c r="E43" s="36"/>
      <c r="F43" s="36"/>
      <c r="G43" s="36"/>
      <c r="H43" s="36"/>
      <c r="I43" s="70"/>
      <c r="J43" s="36"/>
      <c r="K43" s="36"/>
      <c r="L43" s="36"/>
      <c r="M43" s="36"/>
      <c r="N43" s="36"/>
      <c r="O43" s="36"/>
      <c r="P43" s="36"/>
      <c r="Q43" s="36"/>
      <c r="R43" s="36"/>
      <c r="S43" s="41"/>
      <c r="T43" s="41"/>
      <c r="U43" s="41"/>
      <c r="V43" s="41"/>
      <c r="W43" s="41"/>
      <c r="X43" s="41"/>
      <c r="Y43" s="41"/>
      <c r="Z43" s="44"/>
      <c r="AA43" s="10"/>
    </row>
    <row r="44" spans="1:27" ht="58.5" customHeight="1" x14ac:dyDescent="0.3">
      <c r="A44" s="63"/>
      <c r="B44" s="94" t="s">
        <v>58</v>
      </c>
      <c r="C44" s="76"/>
      <c r="D44" s="76"/>
      <c r="E44" s="36"/>
      <c r="F44" s="36"/>
      <c r="G44" s="70"/>
      <c r="H44" s="36"/>
      <c r="I44" s="70"/>
      <c r="J44" s="36"/>
      <c r="K44" s="36"/>
      <c r="L44" s="36"/>
      <c r="M44" s="36"/>
      <c r="N44" s="36"/>
      <c r="O44" s="36"/>
      <c r="P44" s="36"/>
      <c r="Q44" s="36"/>
      <c r="R44" s="36"/>
      <c r="S44" s="41"/>
      <c r="T44" s="41"/>
      <c r="U44" s="41"/>
      <c r="V44" s="41"/>
      <c r="W44" s="41"/>
      <c r="X44" s="41"/>
      <c r="Y44" s="41"/>
      <c r="Z44" s="42"/>
      <c r="AA44" s="10"/>
    </row>
    <row r="45" spans="1:27" ht="137.69999999999999" customHeight="1" x14ac:dyDescent="0.3">
      <c r="A45" s="63"/>
      <c r="B45" s="94" t="s">
        <v>59</v>
      </c>
      <c r="C45" s="76"/>
      <c r="D45" s="76"/>
      <c r="E45" s="36"/>
      <c r="F45" s="36"/>
      <c r="G45" s="70"/>
      <c r="H45" s="36"/>
      <c r="I45" s="70"/>
      <c r="J45" s="36"/>
      <c r="K45" s="36"/>
      <c r="L45" s="36"/>
      <c r="M45" s="36"/>
      <c r="N45" s="36"/>
      <c r="O45" s="36"/>
      <c r="P45" s="36"/>
      <c r="Q45" s="36"/>
      <c r="R45" s="36"/>
      <c r="S45" s="41"/>
      <c r="T45" s="41"/>
      <c r="U45" s="41"/>
      <c r="V45" s="41"/>
      <c r="W45" s="41"/>
      <c r="X45" s="41"/>
      <c r="Y45" s="41"/>
      <c r="Z45" s="44"/>
      <c r="AA45" s="10"/>
    </row>
    <row r="46" spans="1:27" ht="58.5" customHeight="1" x14ac:dyDescent="0.3">
      <c r="A46" s="63"/>
      <c r="B46" s="94" t="s">
        <v>60</v>
      </c>
      <c r="C46" s="76"/>
      <c r="D46" s="76"/>
      <c r="E46" s="36"/>
      <c r="F46" s="36"/>
      <c r="G46" s="70"/>
      <c r="H46" s="36"/>
      <c r="I46" s="70"/>
      <c r="J46" s="36"/>
      <c r="K46" s="36"/>
      <c r="L46" s="36"/>
      <c r="M46" s="36"/>
      <c r="N46" s="36"/>
      <c r="O46" s="36"/>
      <c r="P46" s="36"/>
      <c r="Q46" s="36"/>
      <c r="R46" s="36"/>
      <c r="S46" s="41"/>
      <c r="T46" s="41"/>
      <c r="U46" s="41"/>
      <c r="V46" s="41"/>
      <c r="W46" s="41"/>
      <c r="X46" s="41"/>
      <c r="Y46" s="41"/>
      <c r="Z46" s="44"/>
      <c r="AA46" s="10"/>
    </row>
    <row r="47" spans="1:27" ht="58.5" customHeight="1" x14ac:dyDescent="0.3">
      <c r="A47" s="63"/>
      <c r="B47" s="94" t="s">
        <v>61</v>
      </c>
      <c r="C47" s="76"/>
      <c r="D47" s="76"/>
      <c r="E47" s="36"/>
      <c r="F47" s="36"/>
      <c r="G47" s="36"/>
      <c r="H47" s="36"/>
      <c r="I47" s="36"/>
      <c r="J47" s="70"/>
      <c r="K47" s="70"/>
      <c r="L47" s="36"/>
      <c r="M47" s="36"/>
      <c r="N47" s="36"/>
      <c r="O47" s="36"/>
      <c r="P47" s="36"/>
      <c r="Q47" s="36"/>
      <c r="R47" s="36"/>
      <c r="S47" s="41"/>
      <c r="T47" s="41"/>
      <c r="U47" s="41"/>
      <c r="V47" s="41"/>
      <c r="W47" s="41"/>
      <c r="X47" s="41"/>
      <c r="Y47" s="41"/>
      <c r="Z47" s="44"/>
      <c r="AA47" s="10"/>
    </row>
    <row r="48" spans="1:27" ht="58.5" customHeight="1" x14ac:dyDescent="0.3">
      <c r="A48" s="63"/>
      <c r="B48" s="94" t="s">
        <v>62</v>
      </c>
      <c r="C48" s="76"/>
      <c r="D48" s="76"/>
      <c r="E48" s="36"/>
      <c r="F48" s="36"/>
      <c r="G48" s="36"/>
      <c r="H48" s="36"/>
      <c r="I48" s="36"/>
      <c r="J48" s="70"/>
      <c r="K48" s="70"/>
      <c r="L48" s="36"/>
      <c r="M48" s="36"/>
      <c r="N48" s="36"/>
      <c r="O48" s="36"/>
      <c r="P48" s="36"/>
      <c r="Q48" s="36"/>
      <c r="R48" s="36"/>
      <c r="S48" s="41"/>
      <c r="T48" s="41"/>
      <c r="U48" s="41"/>
      <c r="V48" s="41"/>
      <c r="W48" s="41"/>
      <c r="X48" s="41"/>
      <c r="Y48" s="41"/>
      <c r="Z48" s="44"/>
      <c r="AA48" s="10"/>
    </row>
    <row r="49" spans="1:27" ht="58.5" customHeight="1" x14ac:dyDescent="0.3">
      <c r="A49" s="63"/>
      <c r="B49" s="94" t="s">
        <v>63</v>
      </c>
      <c r="C49" s="76"/>
      <c r="D49" s="76"/>
      <c r="E49" s="36"/>
      <c r="F49" s="36"/>
      <c r="G49" s="70"/>
      <c r="H49" s="36"/>
      <c r="I49" s="36"/>
      <c r="J49" s="70"/>
      <c r="K49" s="70"/>
      <c r="L49" s="36"/>
      <c r="M49" s="36"/>
      <c r="N49" s="36"/>
      <c r="O49" s="36"/>
      <c r="P49" s="36"/>
      <c r="Q49" s="36"/>
      <c r="R49" s="36"/>
      <c r="S49" s="41"/>
      <c r="T49" s="41"/>
      <c r="U49" s="41"/>
      <c r="V49" s="41"/>
      <c r="W49" s="41"/>
      <c r="X49" s="41"/>
      <c r="Y49" s="41"/>
      <c r="Z49" s="44"/>
      <c r="AA49" s="10"/>
    </row>
    <row r="50" spans="1:27" ht="58.5" customHeight="1" x14ac:dyDescent="0.3">
      <c r="A50" s="63"/>
      <c r="B50" s="94" t="s">
        <v>64</v>
      </c>
      <c r="C50" s="76"/>
      <c r="D50" s="76"/>
      <c r="E50" s="36"/>
      <c r="F50" s="36"/>
      <c r="G50" s="70"/>
      <c r="H50" s="36"/>
      <c r="I50" s="36"/>
      <c r="J50" s="70"/>
      <c r="K50" s="70"/>
      <c r="L50" s="36"/>
      <c r="M50" s="36"/>
      <c r="N50" s="36"/>
      <c r="O50" s="36"/>
      <c r="P50" s="36"/>
      <c r="Q50" s="36"/>
      <c r="R50" s="36"/>
      <c r="S50" s="41"/>
      <c r="T50" s="41"/>
      <c r="U50" s="41"/>
      <c r="V50" s="41"/>
      <c r="W50" s="41"/>
      <c r="X50" s="41"/>
      <c r="Y50" s="41"/>
      <c r="Z50" s="44"/>
      <c r="AA50" s="10"/>
    </row>
    <row r="51" spans="1:27" ht="58.5" customHeight="1" x14ac:dyDescent="0.3">
      <c r="A51" s="63"/>
      <c r="B51" s="94" t="s">
        <v>65</v>
      </c>
      <c r="C51" s="76"/>
      <c r="D51" s="76"/>
      <c r="E51" s="36"/>
      <c r="F51" s="36"/>
      <c r="G51" s="70"/>
      <c r="H51" s="36"/>
      <c r="I51" s="36"/>
      <c r="J51" s="70"/>
      <c r="K51" s="70"/>
      <c r="L51" s="36"/>
      <c r="M51" s="36"/>
      <c r="N51" s="36"/>
      <c r="O51" s="36"/>
      <c r="P51" s="36"/>
      <c r="Q51" s="36"/>
      <c r="R51" s="36"/>
      <c r="S51" s="41"/>
      <c r="T51" s="41"/>
      <c r="U51" s="41"/>
      <c r="V51" s="41"/>
      <c r="W51" s="41"/>
      <c r="X51" s="41"/>
      <c r="Y51" s="41"/>
      <c r="Z51" s="42"/>
      <c r="AA51" s="10"/>
    </row>
    <row r="52" spans="1:27" ht="58.5" customHeight="1" x14ac:dyDescent="0.3">
      <c r="A52" s="63"/>
      <c r="B52" s="94" t="s">
        <v>66</v>
      </c>
      <c r="C52" s="76"/>
      <c r="D52" s="76"/>
      <c r="E52" s="36"/>
      <c r="F52" s="36"/>
      <c r="G52" s="70"/>
      <c r="H52" s="36"/>
      <c r="I52" s="36"/>
      <c r="J52" s="70"/>
      <c r="K52" s="70"/>
      <c r="L52" s="36"/>
      <c r="M52" s="36"/>
      <c r="N52" s="36"/>
      <c r="O52" s="36"/>
      <c r="P52" s="36"/>
      <c r="Q52" s="36"/>
      <c r="R52" s="36"/>
      <c r="S52" s="41"/>
      <c r="T52" s="41"/>
      <c r="U52" s="41"/>
      <c r="V52" s="41"/>
      <c r="W52" s="41"/>
      <c r="X52" s="41"/>
      <c r="Y52" s="41"/>
      <c r="Z52" s="44"/>
      <c r="AA52" s="10"/>
    </row>
    <row r="53" spans="1:27" ht="58.5" customHeight="1" x14ac:dyDescent="0.3">
      <c r="A53" s="63"/>
      <c r="B53" s="94" t="s">
        <v>67</v>
      </c>
      <c r="C53" s="76"/>
      <c r="D53" s="76"/>
      <c r="E53" s="36"/>
      <c r="F53" s="36"/>
      <c r="G53" s="70"/>
      <c r="H53" s="36"/>
      <c r="I53" s="36"/>
      <c r="J53" s="70"/>
      <c r="K53" s="70"/>
      <c r="L53" s="36"/>
      <c r="M53" s="36"/>
      <c r="N53" s="36"/>
      <c r="O53" s="36"/>
      <c r="P53" s="36"/>
      <c r="Q53" s="36"/>
      <c r="R53" s="36"/>
      <c r="S53" s="41"/>
      <c r="T53" s="41"/>
      <c r="U53" s="41"/>
      <c r="V53" s="41"/>
      <c r="W53" s="41"/>
      <c r="X53" s="41"/>
      <c r="Y53" s="41"/>
      <c r="Z53" s="44"/>
      <c r="AA53" s="10"/>
    </row>
    <row r="54" spans="1:27" ht="58.5" customHeight="1" x14ac:dyDescent="0.3">
      <c r="A54" s="63"/>
      <c r="B54" s="94" t="s">
        <v>68</v>
      </c>
      <c r="C54" s="76"/>
      <c r="D54" s="76"/>
      <c r="E54" s="36"/>
      <c r="F54" s="36"/>
      <c r="G54" s="70"/>
      <c r="H54" s="36"/>
      <c r="I54" s="36"/>
      <c r="J54" s="70"/>
      <c r="K54" s="70"/>
      <c r="L54" s="36"/>
      <c r="M54" s="36"/>
      <c r="N54" s="36"/>
      <c r="O54" s="36"/>
      <c r="P54" s="36"/>
      <c r="Q54" s="36"/>
      <c r="R54" s="36"/>
      <c r="S54" s="41"/>
      <c r="T54" s="41"/>
      <c r="U54" s="41"/>
      <c r="V54" s="41"/>
      <c r="W54" s="41"/>
      <c r="X54" s="41"/>
      <c r="Y54" s="41"/>
      <c r="Z54" s="44"/>
      <c r="AA54" s="10"/>
    </row>
    <row r="55" spans="1:27" ht="58.5" customHeight="1" x14ac:dyDescent="0.3">
      <c r="A55" s="63"/>
      <c r="B55" s="94" t="s">
        <v>69</v>
      </c>
      <c r="C55" s="76"/>
      <c r="D55" s="76"/>
      <c r="E55" s="36"/>
      <c r="F55" s="36"/>
      <c r="G55" s="36"/>
      <c r="H55" s="36"/>
      <c r="I55" s="36"/>
      <c r="J55" s="36"/>
      <c r="K55" s="36"/>
      <c r="L55" s="70"/>
      <c r="M55" s="36"/>
      <c r="N55" s="36"/>
      <c r="O55" s="36"/>
      <c r="P55" s="36"/>
      <c r="Q55" s="36"/>
      <c r="R55" s="36"/>
      <c r="S55" s="41"/>
      <c r="T55" s="41"/>
      <c r="U55" s="41"/>
      <c r="V55" s="41"/>
      <c r="W55" s="41"/>
      <c r="X55" s="41"/>
      <c r="Y55" s="41"/>
      <c r="Z55" s="42"/>
      <c r="AA55" s="10"/>
    </row>
    <row r="56" spans="1:27" ht="58.5" customHeight="1" x14ac:dyDescent="0.3">
      <c r="A56" s="63"/>
      <c r="B56" s="94" t="s">
        <v>70</v>
      </c>
      <c r="C56" s="76"/>
      <c r="D56" s="76"/>
      <c r="E56" s="36"/>
      <c r="F56" s="36"/>
      <c r="G56" s="36"/>
      <c r="H56" s="36"/>
      <c r="I56" s="36"/>
      <c r="J56" s="36"/>
      <c r="K56" s="36"/>
      <c r="L56" s="70"/>
      <c r="M56" s="36"/>
      <c r="N56" s="36"/>
      <c r="O56" s="36"/>
      <c r="P56" s="36"/>
      <c r="Q56" s="36"/>
      <c r="R56" s="36"/>
      <c r="S56" s="41"/>
      <c r="T56" s="41"/>
      <c r="U56" s="41"/>
      <c r="V56" s="41"/>
      <c r="W56" s="41"/>
      <c r="X56" s="41"/>
      <c r="Y56" s="41"/>
      <c r="Z56" s="44"/>
      <c r="AA56" s="10"/>
    </row>
    <row r="57" spans="1:27" ht="58.5" customHeight="1" x14ac:dyDescent="0.3">
      <c r="A57" s="63"/>
      <c r="B57" s="94" t="s">
        <v>71</v>
      </c>
      <c r="C57" s="76"/>
      <c r="D57" s="76"/>
      <c r="E57" s="36"/>
      <c r="F57" s="36"/>
      <c r="G57" s="36"/>
      <c r="H57" s="36"/>
      <c r="I57" s="36"/>
      <c r="J57" s="36"/>
      <c r="K57" s="36"/>
      <c r="L57" s="70"/>
      <c r="M57" s="36"/>
      <c r="N57" s="36"/>
      <c r="O57" s="36"/>
      <c r="P57" s="36"/>
      <c r="Q57" s="36"/>
      <c r="R57" s="36"/>
      <c r="S57" s="41"/>
      <c r="T57" s="41"/>
      <c r="U57" s="41"/>
      <c r="V57" s="41"/>
      <c r="W57" s="41"/>
      <c r="X57" s="41"/>
      <c r="Y57" s="41"/>
      <c r="Z57" s="44"/>
      <c r="AA57" s="10"/>
    </row>
    <row r="58" spans="1:27" ht="58.5" customHeight="1" x14ac:dyDescent="0.3">
      <c r="A58" s="63"/>
      <c r="B58" s="94" t="s">
        <v>72</v>
      </c>
      <c r="C58" s="76"/>
      <c r="D58" s="76"/>
      <c r="E58" s="36"/>
      <c r="F58" s="36"/>
      <c r="G58" s="36"/>
      <c r="H58" s="36"/>
      <c r="I58" s="36"/>
      <c r="J58" s="36"/>
      <c r="K58" s="36"/>
      <c r="L58" s="70"/>
      <c r="M58" s="36"/>
      <c r="N58" s="36"/>
      <c r="O58" s="36"/>
      <c r="P58" s="36"/>
      <c r="Q58" s="36"/>
      <c r="R58" s="36"/>
      <c r="S58" s="41"/>
      <c r="T58" s="41"/>
      <c r="U58" s="41"/>
      <c r="V58" s="41"/>
      <c r="W58" s="41"/>
      <c r="X58" s="41"/>
      <c r="Y58" s="41"/>
      <c r="Z58" s="44"/>
      <c r="AA58" s="10"/>
    </row>
    <row r="59" spans="1:27" ht="58.5" customHeight="1" x14ac:dyDescent="0.3">
      <c r="A59" s="63"/>
      <c r="B59" s="94" t="s">
        <v>73</v>
      </c>
      <c r="C59" s="76"/>
      <c r="D59" s="76"/>
      <c r="E59" s="36"/>
      <c r="F59" s="36"/>
      <c r="G59" s="36"/>
      <c r="H59" s="36"/>
      <c r="I59" s="36"/>
      <c r="J59" s="36"/>
      <c r="K59" s="36"/>
      <c r="L59" s="70"/>
      <c r="M59" s="36"/>
      <c r="N59" s="36"/>
      <c r="O59" s="36"/>
      <c r="P59" s="36"/>
      <c r="Q59" s="36"/>
      <c r="R59" s="36"/>
      <c r="S59" s="41"/>
      <c r="T59" s="41"/>
      <c r="U59" s="41"/>
      <c r="V59" s="41"/>
      <c r="W59" s="41"/>
      <c r="X59" s="41"/>
      <c r="Y59" s="41"/>
      <c r="Z59" s="44"/>
      <c r="AA59" s="10"/>
    </row>
    <row r="60" spans="1:27" ht="58.5" customHeight="1" x14ac:dyDescent="0.3">
      <c r="A60" s="63"/>
      <c r="B60" s="94" t="s">
        <v>74</v>
      </c>
      <c r="C60" s="76"/>
      <c r="D60" s="76"/>
      <c r="E60" s="36"/>
      <c r="F60" s="36"/>
      <c r="G60" s="36"/>
      <c r="H60" s="36"/>
      <c r="I60" s="36"/>
      <c r="J60" s="36"/>
      <c r="K60" s="36"/>
      <c r="L60" s="70"/>
      <c r="M60" s="36"/>
      <c r="N60" s="36"/>
      <c r="O60" s="36"/>
      <c r="P60" s="36"/>
      <c r="Q60" s="36"/>
      <c r="R60" s="36"/>
      <c r="S60" s="41"/>
      <c r="T60" s="41"/>
      <c r="U60" s="41"/>
      <c r="V60" s="41"/>
      <c r="W60" s="41"/>
      <c r="X60" s="41"/>
      <c r="Y60" s="41"/>
      <c r="Z60" s="42"/>
      <c r="AA60" s="10"/>
    </row>
    <row r="61" spans="1:27" ht="58.5" customHeight="1" x14ac:dyDescent="0.3">
      <c r="A61" s="63"/>
      <c r="B61" s="94" t="s">
        <v>75</v>
      </c>
      <c r="C61" s="76"/>
      <c r="D61" s="76"/>
      <c r="E61" s="36"/>
      <c r="F61" s="36"/>
      <c r="G61" s="36"/>
      <c r="H61" s="36"/>
      <c r="I61" s="36"/>
      <c r="J61" s="36"/>
      <c r="K61" s="36"/>
      <c r="L61" s="70"/>
      <c r="M61" s="36"/>
      <c r="N61" s="36"/>
      <c r="O61" s="36"/>
      <c r="P61" s="36"/>
      <c r="Q61" s="36"/>
      <c r="R61" s="36"/>
      <c r="S61" s="41"/>
      <c r="T61" s="41"/>
      <c r="U61" s="41"/>
      <c r="V61" s="41"/>
      <c r="W61" s="41"/>
      <c r="X61" s="41"/>
      <c r="Y61" s="41"/>
      <c r="Z61" s="44"/>
      <c r="AA61" s="10"/>
    </row>
    <row r="62" spans="1:27" ht="58.5" customHeight="1" x14ac:dyDescent="0.3">
      <c r="A62" s="63"/>
      <c r="B62" s="94" t="s">
        <v>76</v>
      </c>
      <c r="C62" s="76"/>
      <c r="D62" s="76"/>
      <c r="E62" s="36"/>
      <c r="F62" s="36"/>
      <c r="G62" s="36"/>
      <c r="H62" s="36"/>
      <c r="I62" s="36"/>
      <c r="J62" s="36"/>
      <c r="K62" s="36"/>
      <c r="L62" s="70"/>
      <c r="M62" s="36"/>
      <c r="N62" s="36"/>
      <c r="O62" s="36"/>
      <c r="P62" s="36"/>
      <c r="Q62" s="36"/>
      <c r="R62" s="36"/>
      <c r="S62" s="41"/>
      <c r="T62" s="41"/>
      <c r="U62" s="41"/>
      <c r="V62" s="41"/>
      <c r="W62" s="41"/>
      <c r="X62" s="41"/>
      <c r="Y62" s="41"/>
      <c r="Z62" s="44"/>
      <c r="AA62" s="10"/>
    </row>
    <row r="63" spans="1:27" ht="58.5" customHeight="1" x14ac:dyDescent="0.3">
      <c r="A63" s="63"/>
      <c r="B63" s="94" t="s">
        <v>77</v>
      </c>
      <c r="C63" s="76"/>
      <c r="D63" s="76"/>
      <c r="E63" s="36"/>
      <c r="F63" s="36"/>
      <c r="G63" s="36"/>
      <c r="H63" s="36"/>
      <c r="I63" s="36"/>
      <c r="J63" s="36"/>
      <c r="K63" s="36"/>
      <c r="L63" s="70"/>
      <c r="M63" s="36"/>
      <c r="N63" s="36"/>
      <c r="O63" s="36"/>
      <c r="P63" s="36"/>
      <c r="Q63" s="36"/>
      <c r="R63" s="36"/>
      <c r="S63" s="41"/>
      <c r="T63" s="41"/>
      <c r="U63" s="41"/>
      <c r="V63" s="41"/>
      <c r="W63" s="41"/>
      <c r="X63" s="41"/>
      <c r="Y63" s="41"/>
      <c r="Z63" s="44"/>
      <c r="AA63" s="10"/>
    </row>
    <row r="64" spans="1:27" ht="58.5" customHeight="1" x14ac:dyDescent="0.3">
      <c r="A64" s="63"/>
      <c r="B64" s="94" t="s">
        <v>78</v>
      </c>
      <c r="C64" s="76"/>
      <c r="D64" s="76"/>
      <c r="E64" s="36"/>
      <c r="F64" s="36"/>
      <c r="G64" s="36"/>
      <c r="H64" s="36"/>
      <c r="I64" s="36"/>
      <c r="J64" s="36"/>
      <c r="K64" s="36"/>
      <c r="L64" s="70"/>
      <c r="M64" s="36"/>
      <c r="N64" s="36"/>
      <c r="O64" s="36"/>
      <c r="P64" s="36"/>
      <c r="Q64" s="36"/>
      <c r="R64" s="36"/>
      <c r="S64" s="41"/>
      <c r="T64" s="41"/>
      <c r="U64" s="41"/>
      <c r="V64" s="41"/>
      <c r="W64" s="41"/>
      <c r="X64" s="41"/>
      <c r="Y64" s="41"/>
      <c r="Z64" s="44"/>
      <c r="AA64" s="10"/>
    </row>
    <row r="65" spans="1:27" ht="58.5" customHeight="1" x14ac:dyDescent="0.3">
      <c r="A65" s="63"/>
      <c r="B65" s="94" t="s">
        <v>79</v>
      </c>
      <c r="C65" s="76"/>
      <c r="D65" s="76"/>
      <c r="E65" s="36"/>
      <c r="F65" s="36"/>
      <c r="G65" s="36"/>
      <c r="H65" s="36"/>
      <c r="I65" s="36"/>
      <c r="J65" s="36"/>
      <c r="K65" s="36"/>
      <c r="L65" s="36"/>
      <c r="M65" s="70"/>
      <c r="N65" s="36"/>
      <c r="O65" s="36"/>
      <c r="P65" s="36"/>
      <c r="Q65" s="36"/>
      <c r="R65" s="36"/>
      <c r="S65" s="41"/>
      <c r="T65" s="41"/>
      <c r="U65" s="41"/>
      <c r="V65" s="41"/>
      <c r="W65" s="41"/>
      <c r="X65" s="41"/>
      <c r="Y65" s="41"/>
      <c r="Z65" s="44"/>
      <c r="AA65" s="10"/>
    </row>
    <row r="66" spans="1:27" ht="58.5" customHeight="1" x14ac:dyDescent="0.3">
      <c r="A66" s="63"/>
      <c r="B66" s="94" t="s">
        <v>80</v>
      </c>
      <c r="C66" s="76"/>
      <c r="D66" s="76"/>
      <c r="E66" s="36"/>
      <c r="F66" s="36"/>
      <c r="G66" s="36"/>
      <c r="H66" s="36"/>
      <c r="I66" s="36"/>
      <c r="J66" s="36"/>
      <c r="K66" s="36"/>
      <c r="L66" s="36"/>
      <c r="M66" s="70"/>
      <c r="N66" s="36"/>
      <c r="O66" s="36"/>
      <c r="P66" s="36"/>
      <c r="Q66" s="36"/>
      <c r="R66" s="36"/>
      <c r="S66" s="41"/>
      <c r="T66" s="41"/>
      <c r="U66" s="41"/>
      <c r="V66" s="41"/>
      <c r="W66" s="41"/>
      <c r="X66" s="41"/>
      <c r="Y66" s="41"/>
      <c r="Z66" s="44"/>
      <c r="AA66" s="10"/>
    </row>
    <row r="67" spans="1:27" ht="58.5" customHeight="1" x14ac:dyDescent="0.3">
      <c r="A67" s="63"/>
      <c r="B67" s="94" t="s">
        <v>81</v>
      </c>
      <c r="C67" s="76"/>
      <c r="D67" s="76"/>
      <c r="E67" s="36"/>
      <c r="F67" s="36"/>
      <c r="G67" s="36"/>
      <c r="H67" s="36"/>
      <c r="I67" s="36"/>
      <c r="J67" s="36"/>
      <c r="K67" s="36"/>
      <c r="L67" s="36"/>
      <c r="M67" s="70"/>
      <c r="N67" s="36"/>
      <c r="O67" s="36"/>
      <c r="P67" s="36"/>
      <c r="Q67" s="36"/>
      <c r="R67" s="36"/>
      <c r="S67" s="41"/>
      <c r="T67" s="41"/>
      <c r="U67" s="41"/>
      <c r="V67" s="41"/>
      <c r="W67" s="41"/>
      <c r="X67" s="41"/>
      <c r="Y67" s="41"/>
      <c r="Z67" s="44"/>
      <c r="AA67" s="10"/>
    </row>
    <row r="68" spans="1:27" ht="58.5" customHeight="1" x14ac:dyDescent="0.3">
      <c r="A68" s="63"/>
      <c r="B68" s="94" t="s">
        <v>82</v>
      </c>
      <c r="C68" s="76"/>
      <c r="D68" s="76"/>
      <c r="E68" s="36"/>
      <c r="F68" s="36"/>
      <c r="G68" s="36"/>
      <c r="H68" s="36"/>
      <c r="I68" s="36"/>
      <c r="J68" s="36"/>
      <c r="K68" s="36"/>
      <c r="L68" s="36"/>
      <c r="M68" s="70"/>
      <c r="N68" s="36"/>
      <c r="O68" s="36"/>
      <c r="P68" s="36"/>
      <c r="Q68" s="36"/>
      <c r="R68" s="36"/>
      <c r="S68" s="41"/>
      <c r="T68" s="41"/>
      <c r="U68" s="41"/>
      <c r="V68" s="41"/>
      <c r="W68" s="41"/>
      <c r="X68" s="41"/>
      <c r="Y68" s="41"/>
      <c r="Z68" s="42"/>
      <c r="AA68" s="10"/>
    </row>
    <row r="69" spans="1:27" ht="58.5" customHeight="1" x14ac:dyDescent="0.3">
      <c r="A69" s="63"/>
      <c r="B69" s="94" t="s">
        <v>83</v>
      </c>
      <c r="C69" s="76"/>
      <c r="D69" s="76"/>
      <c r="E69" s="38"/>
      <c r="F69" s="36"/>
      <c r="G69" s="36"/>
      <c r="H69" s="36"/>
      <c r="I69" s="36"/>
      <c r="J69" s="36"/>
      <c r="K69" s="36"/>
      <c r="L69" s="36"/>
      <c r="M69" s="70"/>
      <c r="N69" s="36"/>
      <c r="O69" s="36"/>
      <c r="P69" s="36"/>
      <c r="Q69" s="36"/>
      <c r="R69" s="36"/>
      <c r="S69" s="41"/>
      <c r="T69" s="41"/>
      <c r="U69" s="41"/>
      <c r="V69" s="41"/>
      <c r="W69" s="41"/>
      <c r="X69" s="41"/>
      <c r="Y69" s="41"/>
      <c r="Z69" s="44"/>
      <c r="AA69" s="10"/>
    </row>
    <row r="70" spans="1:27" ht="58.5" customHeight="1" x14ac:dyDescent="0.3">
      <c r="A70" s="63"/>
      <c r="B70" s="94" t="s">
        <v>84</v>
      </c>
      <c r="C70" s="76"/>
      <c r="D70" s="76"/>
      <c r="E70" s="38"/>
      <c r="F70" s="36"/>
      <c r="G70" s="36"/>
      <c r="H70" s="36"/>
      <c r="I70" s="36"/>
      <c r="J70" s="36"/>
      <c r="K70" s="36"/>
      <c r="L70" s="36"/>
      <c r="M70" s="70"/>
      <c r="N70" s="36"/>
      <c r="O70" s="36"/>
      <c r="P70" s="36"/>
      <c r="Q70" s="36"/>
      <c r="R70" s="36"/>
      <c r="S70" s="41"/>
      <c r="T70" s="41"/>
      <c r="U70" s="41"/>
      <c r="V70" s="41"/>
      <c r="W70" s="41"/>
      <c r="X70" s="41"/>
      <c r="Y70" s="41"/>
      <c r="Z70" s="44"/>
      <c r="AA70" s="10"/>
    </row>
    <row r="71" spans="1:27" ht="75.45" customHeight="1" x14ac:dyDescent="0.3">
      <c r="A71" s="63"/>
      <c r="B71" s="94" t="s">
        <v>85</v>
      </c>
      <c r="C71" s="76"/>
      <c r="D71" s="76"/>
      <c r="E71" s="38"/>
      <c r="F71" s="36"/>
      <c r="G71" s="36"/>
      <c r="H71" s="36"/>
      <c r="I71" s="36"/>
      <c r="J71" s="36"/>
      <c r="K71" s="36"/>
      <c r="L71" s="36"/>
      <c r="M71" s="70"/>
      <c r="N71" s="36"/>
      <c r="O71" s="36"/>
      <c r="P71" s="36"/>
      <c r="Q71" s="36"/>
      <c r="R71" s="36"/>
      <c r="S71" s="41"/>
      <c r="T71" s="41"/>
      <c r="U71" s="41"/>
      <c r="V71" s="41"/>
      <c r="W71" s="41"/>
      <c r="X71" s="41"/>
      <c r="Y71" s="41"/>
      <c r="Z71" s="44"/>
      <c r="AA71" s="10"/>
    </row>
    <row r="72" spans="1:27" ht="58.5" customHeight="1" x14ac:dyDescent="0.3">
      <c r="A72" s="63"/>
      <c r="B72" s="94" t="s">
        <v>86</v>
      </c>
      <c r="C72" s="76"/>
      <c r="D72" s="76"/>
      <c r="E72" s="38"/>
      <c r="F72" s="36"/>
      <c r="G72" s="36"/>
      <c r="H72" s="36"/>
      <c r="I72" s="36"/>
      <c r="J72" s="36"/>
      <c r="K72" s="36"/>
      <c r="L72" s="36"/>
      <c r="M72" s="70"/>
      <c r="N72" s="36"/>
      <c r="O72" s="36"/>
      <c r="P72" s="36"/>
      <c r="Q72" s="36"/>
      <c r="R72" s="36"/>
      <c r="S72" s="41"/>
      <c r="T72" s="41"/>
      <c r="U72" s="41"/>
      <c r="V72" s="41"/>
      <c r="W72" s="41"/>
      <c r="X72" s="41"/>
      <c r="Y72" s="41"/>
      <c r="Z72" s="44"/>
      <c r="AA72" s="10"/>
    </row>
    <row r="73" spans="1:27" s="69" customFormat="1" ht="32.25" customHeight="1" x14ac:dyDescent="0.3">
      <c r="A73" s="123" t="s">
        <v>88</v>
      </c>
      <c r="B73" s="124" t="s">
        <v>87</v>
      </c>
      <c r="C73" s="124"/>
      <c r="D73" s="125"/>
      <c r="E73" s="64"/>
      <c r="F73" s="65"/>
      <c r="G73" s="65"/>
      <c r="H73" s="65"/>
      <c r="I73" s="65"/>
      <c r="J73" s="65"/>
      <c r="K73" s="65"/>
      <c r="L73" s="65"/>
      <c r="M73" s="65"/>
      <c r="N73" s="65"/>
      <c r="O73" s="65"/>
      <c r="P73" s="65"/>
      <c r="Q73" s="65"/>
      <c r="R73" s="65"/>
      <c r="S73" s="66"/>
      <c r="T73" s="66"/>
      <c r="U73" s="66"/>
      <c r="V73" s="66"/>
      <c r="W73" s="66"/>
      <c r="X73" s="66"/>
      <c r="Y73" s="66"/>
      <c r="Z73" s="67"/>
      <c r="AA73" s="68"/>
    </row>
    <row r="74" spans="1:27" ht="69" customHeight="1" x14ac:dyDescent="0.3">
      <c r="A74" s="63"/>
      <c r="B74" s="94" t="s">
        <v>89</v>
      </c>
      <c r="C74" s="76"/>
      <c r="D74" s="76"/>
      <c r="E74" s="38"/>
      <c r="F74" s="36"/>
      <c r="G74" s="36"/>
      <c r="H74" s="36"/>
      <c r="I74" s="36"/>
      <c r="J74" s="36"/>
      <c r="K74" s="36"/>
      <c r="L74" s="36"/>
      <c r="M74" s="36"/>
      <c r="N74" s="70"/>
      <c r="O74" s="70"/>
      <c r="P74" s="36"/>
      <c r="Q74" s="36"/>
      <c r="R74" s="36"/>
      <c r="S74" s="41"/>
      <c r="T74" s="41"/>
      <c r="U74" s="41"/>
      <c r="V74" s="41"/>
      <c r="W74" s="41"/>
      <c r="X74" s="41"/>
      <c r="Y74" s="41"/>
      <c r="Z74" s="44"/>
      <c r="AA74" s="10"/>
    </row>
    <row r="75" spans="1:27" ht="69" customHeight="1" x14ac:dyDescent="0.3">
      <c r="A75" s="63"/>
      <c r="B75" s="94" t="s">
        <v>90</v>
      </c>
      <c r="C75" s="76"/>
      <c r="D75" s="76"/>
      <c r="E75" s="38"/>
      <c r="F75" s="36"/>
      <c r="G75" s="36"/>
      <c r="H75" s="36"/>
      <c r="I75" s="36"/>
      <c r="J75" s="36"/>
      <c r="K75" s="36"/>
      <c r="L75" s="36"/>
      <c r="M75" s="36"/>
      <c r="N75" s="36"/>
      <c r="O75" s="70"/>
      <c r="P75" s="70"/>
      <c r="Q75" s="36"/>
      <c r="R75" s="36"/>
      <c r="S75" s="41"/>
      <c r="T75" s="41"/>
      <c r="U75" s="41"/>
      <c r="V75" s="41"/>
      <c r="W75" s="41"/>
      <c r="X75" s="41"/>
      <c r="Y75" s="41"/>
      <c r="Z75" s="42"/>
      <c r="AA75" s="10"/>
    </row>
    <row r="76" spans="1:27" ht="69" customHeight="1" x14ac:dyDescent="0.3">
      <c r="A76" s="63"/>
      <c r="B76" s="94" t="s">
        <v>91</v>
      </c>
      <c r="C76" s="76"/>
      <c r="D76" s="76"/>
      <c r="E76" s="38"/>
      <c r="F76" s="36"/>
      <c r="G76" s="36"/>
      <c r="H76" s="36"/>
      <c r="I76" s="36"/>
      <c r="J76" s="36"/>
      <c r="K76" s="36"/>
      <c r="L76" s="36"/>
      <c r="M76" s="36"/>
      <c r="N76" s="36"/>
      <c r="O76" s="70"/>
      <c r="P76" s="70"/>
      <c r="Q76" s="36"/>
      <c r="R76" s="36"/>
      <c r="S76" s="41"/>
      <c r="T76" s="41"/>
      <c r="U76" s="41"/>
      <c r="V76" s="41"/>
      <c r="W76" s="41"/>
      <c r="X76" s="41"/>
      <c r="Y76" s="41"/>
      <c r="Z76" s="44"/>
      <c r="AA76" s="10"/>
    </row>
    <row r="77" spans="1:27" ht="69" customHeight="1" x14ac:dyDescent="0.3">
      <c r="A77" s="63"/>
      <c r="B77" s="94" t="s">
        <v>92</v>
      </c>
      <c r="C77" s="76"/>
      <c r="D77" s="76"/>
      <c r="E77" s="38"/>
      <c r="F77" s="36"/>
      <c r="G77" s="70"/>
      <c r="H77" s="36"/>
      <c r="I77" s="36"/>
      <c r="J77" s="36"/>
      <c r="K77" s="36"/>
      <c r="L77" s="36"/>
      <c r="M77" s="36"/>
      <c r="N77" s="36"/>
      <c r="O77" s="36"/>
      <c r="P77" s="36"/>
      <c r="Q77" s="70"/>
      <c r="R77" s="36"/>
      <c r="S77" s="41"/>
      <c r="T77" s="41"/>
      <c r="U77" s="41"/>
      <c r="V77" s="41"/>
      <c r="W77" s="41"/>
      <c r="X77" s="41"/>
      <c r="Y77" s="41"/>
      <c r="Z77" s="44"/>
      <c r="AA77" s="10"/>
    </row>
    <row r="78" spans="1:27" ht="69" customHeight="1" x14ac:dyDescent="0.3">
      <c r="A78" s="63"/>
      <c r="B78" s="94" t="s">
        <v>93</v>
      </c>
      <c r="C78" s="76"/>
      <c r="D78" s="76"/>
      <c r="E78" s="38"/>
      <c r="F78" s="36"/>
      <c r="G78" s="36"/>
      <c r="H78" s="36"/>
      <c r="I78" s="36"/>
      <c r="J78" s="36"/>
      <c r="K78" s="36"/>
      <c r="L78" s="36"/>
      <c r="M78" s="36"/>
      <c r="N78" s="36"/>
      <c r="O78" s="36"/>
      <c r="P78" s="70"/>
      <c r="Q78" s="70"/>
      <c r="R78" s="36"/>
      <c r="S78" s="41"/>
      <c r="T78" s="41"/>
      <c r="U78" s="41"/>
      <c r="V78" s="41"/>
      <c r="W78" s="41"/>
      <c r="X78" s="41"/>
      <c r="Y78" s="41"/>
      <c r="Z78" s="44"/>
      <c r="AA78" s="10"/>
    </row>
    <row r="79" spans="1:27" ht="69" customHeight="1" x14ac:dyDescent="0.3">
      <c r="A79" s="63"/>
      <c r="B79" s="94" t="s">
        <v>94</v>
      </c>
      <c r="C79" s="76"/>
      <c r="D79" s="76"/>
      <c r="E79" s="38"/>
      <c r="F79" s="36"/>
      <c r="G79" s="70"/>
      <c r="H79" s="36"/>
      <c r="I79" s="36"/>
      <c r="J79" s="36"/>
      <c r="K79" s="36"/>
      <c r="L79" s="36"/>
      <c r="M79" s="36"/>
      <c r="N79" s="70"/>
      <c r="O79" s="36"/>
      <c r="P79" s="36"/>
      <c r="Q79" s="70"/>
      <c r="R79" s="36"/>
      <c r="S79" s="59"/>
      <c r="T79" s="74"/>
      <c r="U79" s="74"/>
      <c r="V79" s="74"/>
      <c r="W79" s="74"/>
      <c r="X79" s="74"/>
      <c r="Y79" s="74"/>
      <c r="Z79" s="44"/>
      <c r="AA79" s="10"/>
    </row>
    <row r="80" spans="1:27" ht="69" customHeight="1" x14ac:dyDescent="0.3">
      <c r="A80" s="63"/>
      <c r="B80" s="94" t="s">
        <v>95</v>
      </c>
      <c r="C80" s="76"/>
      <c r="D80" s="76"/>
      <c r="E80" s="38"/>
      <c r="F80" s="36"/>
      <c r="G80" s="36"/>
      <c r="H80" s="36"/>
      <c r="I80" s="36"/>
      <c r="J80" s="36"/>
      <c r="K80" s="36"/>
      <c r="L80" s="36"/>
      <c r="M80" s="36"/>
      <c r="N80" s="70"/>
      <c r="O80" s="36"/>
      <c r="P80" s="36"/>
      <c r="Q80" s="70"/>
      <c r="R80" s="36"/>
      <c r="S80" s="41"/>
      <c r="T80" s="41"/>
      <c r="U80" s="41"/>
      <c r="V80" s="41"/>
      <c r="W80" s="41"/>
      <c r="X80" s="41"/>
      <c r="Y80" s="41"/>
      <c r="Z80" s="44"/>
      <c r="AA80" s="10"/>
    </row>
    <row r="81" spans="1:27" ht="69" customHeight="1" x14ac:dyDescent="0.3">
      <c r="A81" s="63"/>
      <c r="B81" s="94" t="s">
        <v>96</v>
      </c>
      <c r="C81" s="76"/>
      <c r="D81" s="76"/>
      <c r="E81" s="38"/>
      <c r="F81" s="36"/>
      <c r="G81" s="36"/>
      <c r="H81" s="36"/>
      <c r="I81" s="36"/>
      <c r="J81" s="36"/>
      <c r="K81" s="36"/>
      <c r="L81" s="36"/>
      <c r="M81" s="36"/>
      <c r="N81" s="70"/>
      <c r="O81" s="36"/>
      <c r="P81" s="36"/>
      <c r="Q81" s="36"/>
      <c r="R81" s="70"/>
      <c r="S81" s="41"/>
      <c r="T81" s="41"/>
      <c r="U81" s="41"/>
      <c r="V81" s="41"/>
      <c r="W81" s="41"/>
      <c r="X81" s="41"/>
      <c r="Y81" s="41"/>
      <c r="Z81" s="44"/>
      <c r="AA81" s="10"/>
    </row>
    <row r="82" spans="1:27" ht="69" customHeight="1" x14ac:dyDescent="0.3">
      <c r="A82" s="63"/>
      <c r="B82" s="94" t="s">
        <v>97</v>
      </c>
      <c r="C82" s="76"/>
      <c r="D82" s="76"/>
      <c r="E82" s="38"/>
      <c r="F82" s="36"/>
      <c r="G82" s="36"/>
      <c r="H82" s="36"/>
      <c r="I82" s="36"/>
      <c r="J82" s="36"/>
      <c r="K82" s="36"/>
      <c r="L82" s="36"/>
      <c r="M82" s="36"/>
      <c r="N82" s="36"/>
      <c r="O82" s="36"/>
      <c r="P82" s="36"/>
      <c r="Q82" s="36"/>
      <c r="R82" s="70"/>
      <c r="S82" s="41"/>
      <c r="T82" s="41"/>
      <c r="U82" s="41"/>
      <c r="V82" s="41"/>
      <c r="W82" s="41"/>
      <c r="X82" s="41"/>
      <c r="Y82" s="41"/>
      <c r="Z82" s="42"/>
      <c r="AA82" s="10"/>
    </row>
    <row r="83" spans="1:27" ht="69" customHeight="1" x14ac:dyDescent="0.3">
      <c r="A83" s="63"/>
      <c r="B83" s="94" t="s">
        <v>98</v>
      </c>
      <c r="C83" s="76"/>
      <c r="D83" s="76"/>
      <c r="E83" s="38"/>
      <c r="F83" s="36"/>
      <c r="G83" s="36"/>
      <c r="H83" s="36"/>
      <c r="I83" s="36"/>
      <c r="J83" s="36"/>
      <c r="K83" s="36"/>
      <c r="L83" s="36"/>
      <c r="M83" s="36"/>
      <c r="N83" s="70"/>
      <c r="O83" s="36"/>
      <c r="P83" s="36"/>
      <c r="Q83" s="36"/>
      <c r="R83" s="70"/>
      <c r="S83" s="41"/>
      <c r="T83" s="41"/>
      <c r="U83" s="41"/>
      <c r="V83" s="41"/>
      <c r="W83" s="41"/>
      <c r="X83" s="41"/>
      <c r="Y83" s="41"/>
      <c r="Z83" s="44"/>
      <c r="AA83" s="10"/>
    </row>
    <row r="84" spans="1:27" ht="69" customHeight="1" x14ac:dyDescent="0.3">
      <c r="A84" s="63"/>
      <c r="B84" s="94" t="s">
        <v>99</v>
      </c>
      <c r="C84" s="76"/>
      <c r="D84" s="76"/>
      <c r="E84" s="38"/>
      <c r="F84" s="36"/>
      <c r="G84" s="36"/>
      <c r="H84" s="36"/>
      <c r="I84" s="36"/>
      <c r="J84" s="36"/>
      <c r="K84" s="36"/>
      <c r="L84" s="36"/>
      <c r="M84" s="36"/>
      <c r="N84" s="36"/>
      <c r="O84" s="36"/>
      <c r="P84" s="36"/>
      <c r="Q84" s="36"/>
      <c r="R84" s="70"/>
      <c r="S84" s="41"/>
      <c r="T84" s="41"/>
      <c r="U84" s="41"/>
      <c r="V84" s="41"/>
      <c r="W84" s="41"/>
      <c r="X84" s="41"/>
      <c r="Y84" s="41"/>
      <c r="Z84" s="44"/>
      <c r="AA84" s="10"/>
    </row>
    <row r="85" spans="1:27" ht="69" customHeight="1" x14ac:dyDescent="0.3">
      <c r="A85" s="63"/>
      <c r="B85" s="94" t="s">
        <v>100</v>
      </c>
      <c r="C85" s="76"/>
      <c r="D85" s="76"/>
      <c r="E85" s="38"/>
      <c r="F85" s="36"/>
      <c r="G85" s="36"/>
      <c r="H85" s="36"/>
      <c r="I85" s="36"/>
      <c r="J85" s="36"/>
      <c r="K85" s="36"/>
      <c r="L85" s="36"/>
      <c r="M85" s="36"/>
      <c r="N85" s="36"/>
      <c r="O85" s="36"/>
      <c r="P85" s="36"/>
      <c r="Q85" s="36"/>
      <c r="R85" s="70"/>
      <c r="S85" s="41"/>
      <c r="T85" s="41"/>
      <c r="U85" s="41"/>
      <c r="V85" s="41"/>
      <c r="W85" s="41"/>
      <c r="X85" s="41"/>
      <c r="Y85" s="41"/>
      <c r="Z85" s="42"/>
      <c r="AA85" s="10"/>
    </row>
    <row r="86" spans="1:27" ht="69" customHeight="1" x14ac:dyDescent="0.3">
      <c r="A86" s="63"/>
      <c r="B86" s="94" t="s">
        <v>101</v>
      </c>
      <c r="C86" s="76"/>
      <c r="D86" s="76"/>
      <c r="E86" s="38"/>
      <c r="F86" s="36"/>
      <c r="G86" s="36"/>
      <c r="H86" s="36"/>
      <c r="I86" s="36"/>
      <c r="J86" s="36"/>
      <c r="K86" s="36"/>
      <c r="L86" s="36"/>
      <c r="M86" s="36"/>
      <c r="N86" s="36"/>
      <c r="O86" s="36"/>
      <c r="P86" s="36"/>
      <c r="Q86" s="36"/>
      <c r="R86" s="70"/>
      <c r="S86" s="41"/>
      <c r="T86" s="41"/>
      <c r="U86" s="41"/>
      <c r="V86" s="41"/>
      <c r="W86" s="41"/>
      <c r="X86" s="41"/>
      <c r="Y86" s="41"/>
      <c r="Z86" s="44"/>
      <c r="AA86" s="10"/>
    </row>
    <row r="87" spans="1:27" ht="32.25" customHeight="1" x14ac:dyDescent="0.3">
      <c r="A87" s="95" t="s">
        <v>102</v>
      </c>
      <c r="B87" s="96" t="s">
        <v>102</v>
      </c>
      <c r="C87" s="96"/>
      <c r="D87" s="97"/>
      <c r="E87" s="38"/>
      <c r="F87" s="34"/>
      <c r="G87" s="34"/>
      <c r="H87" s="34"/>
      <c r="I87" s="34"/>
      <c r="J87" s="34"/>
      <c r="K87" s="34"/>
      <c r="L87" s="34"/>
      <c r="M87" s="34"/>
      <c r="N87" s="34"/>
      <c r="O87" s="34"/>
      <c r="P87" s="34"/>
      <c r="Q87" s="34"/>
      <c r="R87" s="34"/>
      <c r="S87" s="34"/>
      <c r="T87" s="34"/>
      <c r="U87" s="34"/>
      <c r="V87" s="34"/>
      <c r="W87" s="34"/>
      <c r="X87" s="34"/>
      <c r="Y87" s="34"/>
      <c r="Z87" s="44"/>
      <c r="AA87" s="10"/>
    </row>
    <row r="88" spans="1:27" ht="67.2" customHeight="1" x14ac:dyDescent="0.3">
      <c r="A88" s="63"/>
      <c r="B88" s="94" t="s">
        <v>103</v>
      </c>
      <c r="C88" s="76"/>
      <c r="D88" s="76"/>
      <c r="E88" s="38"/>
      <c r="F88" s="34"/>
      <c r="G88" s="34"/>
      <c r="H88" s="34"/>
      <c r="I88" s="34"/>
      <c r="J88" s="34"/>
      <c r="K88" s="34"/>
      <c r="L88" s="34"/>
      <c r="M88" s="34"/>
      <c r="N88" s="34"/>
      <c r="O88" s="34"/>
      <c r="P88" s="34"/>
      <c r="Q88" s="34"/>
      <c r="R88" s="34"/>
      <c r="S88" s="58"/>
      <c r="T88" s="72"/>
      <c r="U88" s="72"/>
      <c r="V88" s="72"/>
      <c r="W88" s="72"/>
      <c r="X88" s="72"/>
      <c r="Y88" s="72"/>
      <c r="Z88" s="42"/>
      <c r="AA88" s="10"/>
    </row>
    <row r="89" spans="1:27" ht="32.25" customHeight="1" x14ac:dyDescent="0.3">
      <c r="A89" s="95" t="s">
        <v>104</v>
      </c>
      <c r="B89" s="96" t="s">
        <v>104</v>
      </c>
      <c r="C89" s="96"/>
      <c r="D89" s="97"/>
      <c r="E89" s="38"/>
      <c r="F89" s="34"/>
      <c r="G89" s="34"/>
      <c r="H89" s="34"/>
      <c r="I89" s="34"/>
      <c r="J89" s="34"/>
      <c r="K89" s="34"/>
      <c r="L89" s="34"/>
      <c r="M89" s="34"/>
      <c r="N89" s="34"/>
      <c r="O89" s="34"/>
      <c r="P89" s="34"/>
      <c r="Q89" s="34"/>
      <c r="R89" s="34"/>
      <c r="S89" s="34"/>
      <c r="T89" s="72"/>
      <c r="U89" s="72"/>
      <c r="V89" s="72"/>
      <c r="W89" s="72"/>
      <c r="X89" s="72"/>
      <c r="Y89" s="72"/>
      <c r="Z89" s="44"/>
      <c r="AA89" s="10"/>
    </row>
    <row r="90" spans="1:27" ht="64.95" customHeight="1" x14ac:dyDescent="0.3">
      <c r="A90" s="63"/>
      <c r="B90" s="76" t="s">
        <v>105</v>
      </c>
      <c r="C90" s="76"/>
      <c r="D90" s="77"/>
      <c r="E90" s="38"/>
      <c r="F90" s="34"/>
      <c r="G90" s="34"/>
      <c r="H90" s="34"/>
      <c r="I90" s="34"/>
      <c r="J90" s="34"/>
      <c r="K90" s="34"/>
      <c r="L90" s="34"/>
      <c r="M90" s="34"/>
      <c r="N90" s="34"/>
      <c r="O90" s="34"/>
      <c r="P90" s="34"/>
      <c r="Q90" s="34"/>
      <c r="R90" s="34"/>
      <c r="S90" s="58"/>
      <c r="T90" s="72"/>
      <c r="U90" s="72"/>
      <c r="V90" s="72"/>
      <c r="W90" s="72"/>
      <c r="X90" s="72"/>
      <c r="Y90" s="72"/>
      <c r="Z90" s="42"/>
      <c r="AA90" s="10"/>
    </row>
    <row r="91" spans="1:27" ht="32.25" customHeight="1" x14ac:dyDescent="0.3">
      <c r="A91" s="95" t="s">
        <v>321</v>
      </c>
      <c r="B91" s="96" t="s">
        <v>104</v>
      </c>
      <c r="C91" s="96"/>
      <c r="D91" s="97"/>
      <c r="E91" s="38"/>
      <c r="F91" s="34"/>
      <c r="G91" s="34"/>
      <c r="H91" s="34"/>
      <c r="I91" s="34"/>
      <c r="J91" s="34"/>
      <c r="K91" s="34"/>
      <c r="L91" s="34"/>
      <c r="M91" s="34"/>
      <c r="N91" s="34"/>
      <c r="O91" s="34"/>
      <c r="P91" s="34"/>
      <c r="Q91" s="34"/>
      <c r="R91" s="34"/>
      <c r="S91" s="34"/>
      <c r="T91" s="34"/>
      <c r="U91" s="34"/>
      <c r="V91" s="34"/>
      <c r="W91" s="34"/>
      <c r="X91" s="34"/>
      <c r="Y91" s="34"/>
      <c r="Z91" s="44"/>
      <c r="AA91" s="10"/>
    </row>
    <row r="92" spans="1:27" ht="127.05" customHeight="1" x14ac:dyDescent="0.3">
      <c r="A92" s="71" t="s">
        <v>114</v>
      </c>
      <c r="B92" s="76" t="s">
        <v>106</v>
      </c>
      <c r="C92" s="76"/>
      <c r="D92" s="77"/>
      <c r="E92" s="38"/>
      <c r="F92" s="58"/>
      <c r="G92" s="58"/>
      <c r="H92" s="58"/>
      <c r="I92" s="58"/>
      <c r="J92" s="58"/>
      <c r="K92" s="58"/>
      <c r="L92" s="58"/>
      <c r="M92" s="34"/>
      <c r="N92" s="34"/>
      <c r="O92" s="34"/>
      <c r="P92" s="34"/>
      <c r="Q92" s="34"/>
      <c r="R92" s="34"/>
      <c r="S92" s="41"/>
      <c r="T92" s="41"/>
      <c r="U92" s="41"/>
      <c r="V92" s="41"/>
      <c r="W92" s="41"/>
      <c r="X92" s="41"/>
      <c r="Y92" s="41"/>
      <c r="Z92" s="44"/>
      <c r="AA92" s="10"/>
    </row>
    <row r="93" spans="1:27" ht="66" customHeight="1" x14ac:dyDescent="0.3">
      <c r="A93" s="71" t="s">
        <v>115</v>
      </c>
      <c r="B93" s="76" t="s">
        <v>107</v>
      </c>
      <c r="C93" s="76"/>
      <c r="D93" s="77"/>
      <c r="E93" s="38"/>
      <c r="F93" s="34"/>
      <c r="G93" s="58"/>
      <c r="H93" s="58"/>
      <c r="I93" s="58"/>
      <c r="J93" s="34"/>
      <c r="K93" s="34"/>
      <c r="L93" s="34"/>
      <c r="M93" s="34"/>
      <c r="N93" s="34"/>
      <c r="O93" s="34"/>
      <c r="P93" s="34"/>
      <c r="Q93" s="34"/>
      <c r="R93" s="34"/>
      <c r="S93" s="34"/>
      <c r="T93" s="34"/>
      <c r="U93" s="34"/>
      <c r="V93" s="34"/>
      <c r="W93" s="34"/>
      <c r="X93" s="34"/>
      <c r="Y93" s="34"/>
      <c r="Z93" s="44"/>
      <c r="AA93" s="10"/>
    </row>
    <row r="94" spans="1:27" ht="114" customHeight="1" x14ac:dyDescent="0.3">
      <c r="A94" s="71" t="s">
        <v>116</v>
      </c>
      <c r="B94" s="76" t="s">
        <v>108</v>
      </c>
      <c r="C94" s="76"/>
      <c r="D94" s="77"/>
      <c r="E94" s="38"/>
      <c r="F94" s="58"/>
      <c r="G94" s="58"/>
      <c r="H94" s="58"/>
      <c r="I94" s="58"/>
      <c r="J94" s="58"/>
      <c r="K94" s="58"/>
      <c r="L94" s="58"/>
      <c r="M94" s="34"/>
      <c r="N94" s="34"/>
      <c r="O94" s="34"/>
      <c r="P94" s="34"/>
      <c r="Q94" s="34"/>
      <c r="R94" s="34"/>
      <c r="S94" s="34"/>
      <c r="T94" s="34"/>
      <c r="U94" s="34"/>
      <c r="V94" s="34"/>
      <c r="W94" s="34"/>
      <c r="X94" s="34"/>
      <c r="Y94" s="34"/>
      <c r="Z94" s="44"/>
      <c r="AA94" s="10"/>
    </row>
    <row r="95" spans="1:27" ht="142.05000000000001" customHeight="1" x14ac:dyDescent="0.3">
      <c r="A95" s="71" t="s">
        <v>117</v>
      </c>
      <c r="B95" s="76" t="s">
        <v>109</v>
      </c>
      <c r="C95" s="76"/>
      <c r="D95" s="77"/>
      <c r="E95" s="38"/>
      <c r="F95" s="34"/>
      <c r="G95" s="34"/>
      <c r="H95" s="34"/>
      <c r="I95" s="58"/>
      <c r="J95" s="58"/>
      <c r="K95" s="58"/>
      <c r="L95" s="58"/>
      <c r="M95" s="58"/>
      <c r="N95" s="58"/>
      <c r="O95" s="34"/>
      <c r="P95" s="34"/>
      <c r="Q95" s="34"/>
      <c r="R95" s="34"/>
      <c r="S95" s="34"/>
      <c r="T95" s="34"/>
      <c r="U95" s="34"/>
      <c r="V95" s="34"/>
      <c r="W95" s="34"/>
      <c r="X95" s="34"/>
      <c r="Y95" s="34"/>
      <c r="Z95" s="42"/>
      <c r="AA95" s="10"/>
    </row>
    <row r="96" spans="1:27" ht="84" customHeight="1" x14ac:dyDescent="0.3">
      <c r="A96" s="71" t="s">
        <v>118</v>
      </c>
      <c r="B96" s="76" t="s">
        <v>110</v>
      </c>
      <c r="C96" s="76"/>
      <c r="D96" s="77"/>
      <c r="E96" s="38"/>
      <c r="F96" s="34"/>
      <c r="G96" s="34"/>
      <c r="H96" s="34"/>
      <c r="I96" s="34"/>
      <c r="J96" s="58"/>
      <c r="K96" s="58"/>
      <c r="L96" s="58"/>
      <c r="M96" s="58"/>
      <c r="N96" s="34"/>
      <c r="O96" s="34"/>
      <c r="P96" s="34"/>
      <c r="Q96" s="34"/>
      <c r="R96" s="34"/>
      <c r="S96" s="34"/>
      <c r="T96" s="34"/>
      <c r="U96" s="34"/>
      <c r="V96" s="34"/>
      <c r="W96" s="34"/>
      <c r="X96" s="34"/>
      <c r="Y96" s="34"/>
      <c r="Z96" s="44"/>
      <c r="AA96" s="10"/>
    </row>
    <row r="97" spans="1:27" ht="193.95" customHeight="1" x14ac:dyDescent="0.3">
      <c r="A97" s="71" t="s">
        <v>119</v>
      </c>
      <c r="B97" s="76" t="s">
        <v>111</v>
      </c>
      <c r="C97" s="76"/>
      <c r="D97" s="77"/>
      <c r="E97" s="38"/>
      <c r="F97" s="34"/>
      <c r="G97" s="34"/>
      <c r="H97" s="34"/>
      <c r="I97" s="58"/>
      <c r="J97" s="58"/>
      <c r="K97" s="58"/>
      <c r="L97" s="58"/>
      <c r="M97" s="58"/>
      <c r="N97" s="58"/>
      <c r="O97" s="58"/>
      <c r="P97" s="34"/>
      <c r="Q97" s="34"/>
      <c r="R97" s="34"/>
      <c r="S97" s="41"/>
      <c r="T97" s="41"/>
      <c r="U97" s="41"/>
      <c r="V97" s="41"/>
      <c r="W97" s="41"/>
      <c r="X97" s="41"/>
      <c r="Y97" s="41"/>
      <c r="Z97" s="44"/>
      <c r="AA97" s="10"/>
    </row>
    <row r="98" spans="1:27" ht="64.95" customHeight="1" x14ac:dyDescent="0.3">
      <c r="A98" s="71" t="s">
        <v>120</v>
      </c>
      <c r="B98" s="76" t="s">
        <v>112</v>
      </c>
      <c r="C98" s="76"/>
      <c r="D98" s="77"/>
      <c r="E98" s="38"/>
      <c r="F98" s="34"/>
      <c r="G98" s="34"/>
      <c r="H98" s="34"/>
      <c r="I98" s="34"/>
      <c r="J98" s="58"/>
      <c r="K98" s="34"/>
      <c r="L98" s="34"/>
      <c r="M98" s="34"/>
      <c r="N98" s="34"/>
      <c r="O98" s="34"/>
      <c r="P98" s="34"/>
      <c r="Q98" s="34"/>
      <c r="R98" s="34"/>
      <c r="S98" s="34"/>
      <c r="T98" s="34"/>
      <c r="U98" s="34"/>
      <c r="V98" s="34"/>
      <c r="W98" s="34"/>
      <c r="X98" s="34"/>
      <c r="Y98" s="34"/>
      <c r="Z98" s="44"/>
      <c r="AA98" s="10"/>
    </row>
    <row r="99" spans="1:27" ht="76.05" customHeight="1" x14ac:dyDescent="0.3">
      <c r="A99" s="71" t="s">
        <v>121</v>
      </c>
      <c r="B99" s="76" t="s">
        <v>113</v>
      </c>
      <c r="C99" s="76"/>
      <c r="D99" s="77"/>
      <c r="E99" s="38"/>
      <c r="F99" s="34"/>
      <c r="G99" s="34"/>
      <c r="H99" s="58"/>
      <c r="I99" s="34"/>
      <c r="J99" s="34"/>
      <c r="K99" s="34"/>
      <c r="L99" s="34"/>
      <c r="M99" s="34"/>
      <c r="N99" s="34"/>
      <c r="O99" s="34"/>
      <c r="P99" s="34"/>
      <c r="Q99" s="34"/>
      <c r="R99" s="34"/>
      <c r="S99" s="34"/>
      <c r="T99" s="34"/>
      <c r="U99" s="34"/>
      <c r="V99" s="34"/>
      <c r="W99" s="34"/>
      <c r="X99" s="34"/>
      <c r="Y99" s="34"/>
      <c r="Z99" s="44"/>
      <c r="AA99" s="10"/>
    </row>
    <row r="100" spans="1:27" ht="75" customHeight="1" x14ac:dyDescent="0.3">
      <c r="A100" s="71" t="s">
        <v>122</v>
      </c>
      <c r="B100" s="76" t="s">
        <v>113</v>
      </c>
      <c r="C100" s="76"/>
      <c r="D100" s="77"/>
      <c r="E100" s="38"/>
      <c r="F100" s="34"/>
      <c r="G100" s="34"/>
      <c r="H100" s="58"/>
      <c r="I100" s="34"/>
      <c r="J100" s="34"/>
      <c r="K100" s="34"/>
      <c r="L100" s="34"/>
      <c r="M100" s="34"/>
      <c r="N100" s="34"/>
      <c r="O100" s="34"/>
      <c r="P100" s="34"/>
      <c r="Q100" s="34"/>
      <c r="R100" s="34"/>
      <c r="S100" s="34"/>
      <c r="T100" s="34"/>
      <c r="U100" s="34"/>
      <c r="V100" s="34"/>
      <c r="W100" s="34"/>
      <c r="X100" s="34"/>
      <c r="Y100" s="34"/>
      <c r="Z100" s="42"/>
      <c r="AA100" s="10"/>
    </row>
    <row r="101" spans="1:27" ht="69" customHeight="1" x14ac:dyDescent="0.3">
      <c r="A101" s="71" t="s">
        <v>123</v>
      </c>
      <c r="B101" s="76" t="s">
        <v>113</v>
      </c>
      <c r="C101" s="76"/>
      <c r="D101" s="77"/>
      <c r="E101" s="38"/>
      <c r="F101" s="34"/>
      <c r="G101" s="34"/>
      <c r="H101" s="58"/>
      <c r="I101" s="34"/>
      <c r="J101" s="34"/>
      <c r="K101" s="34"/>
      <c r="L101" s="34"/>
      <c r="M101" s="34"/>
      <c r="N101" s="34"/>
      <c r="O101" s="34"/>
      <c r="P101" s="34"/>
      <c r="Q101" s="34"/>
      <c r="R101" s="34"/>
      <c r="S101" s="34"/>
      <c r="T101" s="34"/>
      <c r="U101" s="34"/>
      <c r="V101" s="34"/>
      <c r="W101" s="34"/>
      <c r="X101" s="34"/>
      <c r="Y101" s="34"/>
      <c r="Z101" s="44"/>
      <c r="AA101" s="10"/>
    </row>
    <row r="102" spans="1:27" ht="81" customHeight="1" x14ac:dyDescent="0.3">
      <c r="A102" s="71" t="s">
        <v>124</v>
      </c>
      <c r="B102" s="76" t="s">
        <v>125</v>
      </c>
      <c r="C102" s="76"/>
      <c r="D102" s="77"/>
      <c r="E102" s="38"/>
      <c r="F102" s="34"/>
      <c r="G102" s="34"/>
      <c r="H102" s="34"/>
      <c r="I102" s="58"/>
      <c r="J102" s="34"/>
      <c r="K102" s="34"/>
      <c r="L102" s="34"/>
      <c r="M102" s="34"/>
      <c r="N102" s="34"/>
      <c r="O102" s="34"/>
      <c r="P102" s="34"/>
      <c r="Q102" s="34"/>
      <c r="R102" s="34"/>
      <c r="S102" s="41"/>
      <c r="T102" s="41"/>
      <c r="U102" s="41"/>
      <c r="V102" s="41"/>
      <c r="W102" s="41"/>
      <c r="X102" s="41"/>
      <c r="Y102" s="41"/>
      <c r="Z102" s="44"/>
      <c r="AA102" s="10"/>
    </row>
    <row r="103" spans="1:27" ht="75" customHeight="1" x14ac:dyDescent="0.3">
      <c r="A103" s="71" t="s">
        <v>127</v>
      </c>
      <c r="B103" s="76" t="s">
        <v>126</v>
      </c>
      <c r="C103" s="76"/>
      <c r="D103" s="77"/>
      <c r="E103" s="38"/>
      <c r="F103" s="34"/>
      <c r="G103" s="34"/>
      <c r="H103" s="34"/>
      <c r="I103" s="58"/>
      <c r="J103" s="34"/>
      <c r="K103" s="34"/>
      <c r="L103" s="34"/>
      <c r="M103" s="34"/>
      <c r="N103" s="34"/>
      <c r="O103" s="34"/>
      <c r="P103" s="34"/>
      <c r="Q103" s="34"/>
      <c r="R103" s="34"/>
      <c r="S103" s="34"/>
      <c r="T103" s="34"/>
      <c r="U103" s="34"/>
      <c r="V103" s="34"/>
      <c r="W103" s="34"/>
      <c r="X103" s="34"/>
      <c r="Y103" s="34"/>
      <c r="Z103" s="44"/>
      <c r="AA103" s="10"/>
    </row>
    <row r="104" spans="1:27" ht="112.95" customHeight="1" x14ac:dyDescent="0.3">
      <c r="A104" s="71" t="s">
        <v>129</v>
      </c>
      <c r="B104" s="76" t="s">
        <v>128</v>
      </c>
      <c r="C104" s="76"/>
      <c r="D104" s="77"/>
      <c r="E104" s="38"/>
      <c r="F104" s="34"/>
      <c r="G104" s="34"/>
      <c r="H104" s="34"/>
      <c r="I104" s="34"/>
      <c r="J104" s="34"/>
      <c r="K104" s="34"/>
      <c r="L104" s="58"/>
      <c r="M104" s="34"/>
      <c r="N104" s="34"/>
      <c r="O104" s="34"/>
      <c r="P104" s="34"/>
      <c r="Q104" s="34"/>
      <c r="R104" s="34"/>
      <c r="S104" s="34"/>
      <c r="T104" s="34"/>
      <c r="U104" s="34"/>
      <c r="V104" s="34"/>
      <c r="W104" s="34"/>
      <c r="X104" s="34"/>
      <c r="Y104" s="34"/>
      <c r="Z104" s="44"/>
      <c r="AA104" s="10"/>
    </row>
    <row r="105" spans="1:27" ht="118.05" customHeight="1" x14ac:dyDescent="0.3">
      <c r="A105" s="71" t="s">
        <v>131</v>
      </c>
      <c r="B105" s="76" t="s">
        <v>130</v>
      </c>
      <c r="C105" s="76"/>
      <c r="D105" s="77"/>
      <c r="E105" s="38"/>
      <c r="F105" s="34"/>
      <c r="G105" s="34"/>
      <c r="H105" s="34"/>
      <c r="I105" s="34"/>
      <c r="J105" s="34"/>
      <c r="K105" s="34"/>
      <c r="L105" s="58"/>
      <c r="M105" s="34"/>
      <c r="N105" s="34"/>
      <c r="O105" s="34"/>
      <c r="P105" s="34"/>
      <c r="Q105" s="34"/>
      <c r="R105" s="34"/>
      <c r="S105" s="34"/>
      <c r="T105" s="34"/>
      <c r="U105" s="34"/>
      <c r="V105" s="34"/>
      <c r="W105" s="34"/>
      <c r="X105" s="34"/>
      <c r="Y105" s="34"/>
      <c r="Z105" s="42"/>
      <c r="AA105" s="10"/>
    </row>
    <row r="106" spans="1:27" ht="69" customHeight="1" x14ac:dyDescent="0.3">
      <c r="A106" s="71" t="s">
        <v>132</v>
      </c>
      <c r="B106" s="76" t="s">
        <v>133</v>
      </c>
      <c r="C106" s="76"/>
      <c r="D106" s="77"/>
      <c r="E106" s="38"/>
      <c r="F106" s="34"/>
      <c r="G106" s="34"/>
      <c r="H106" s="34"/>
      <c r="I106" s="34"/>
      <c r="J106" s="34"/>
      <c r="K106" s="34"/>
      <c r="L106" s="58"/>
      <c r="M106" s="34"/>
      <c r="N106" s="34"/>
      <c r="O106" s="34"/>
      <c r="P106" s="34"/>
      <c r="Q106" s="34"/>
      <c r="R106" s="34"/>
      <c r="S106" s="41"/>
      <c r="T106" s="41"/>
      <c r="U106" s="41"/>
      <c r="V106" s="41"/>
      <c r="W106" s="41"/>
      <c r="X106" s="41"/>
      <c r="Y106" s="41"/>
      <c r="Z106" s="44"/>
      <c r="AA106" s="10"/>
    </row>
    <row r="107" spans="1:27" ht="32.25" customHeight="1" x14ac:dyDescent="0.3">
      <c r="A107" s="71" t="s">
        <v>134</v>
      </c>
      <c r="B107" s="76" t="s">
        <v>135</v>
      </c>
      <c r="C107" s="76"/>
      <c r="D107" s="77"/>
      <c r="E107" s="38"/>
      <c r="F107" s="34"/>
      <c r="G107" s="34"/>
      <c r="H107" s="34"/>
      <c r="I107" s="34"/>
      <c r="J107" s="34"/>
      <c r="K107" s="34"/>
      <c r="L107" s="58"/>
      <c r="M107" s="34"/>
      <c r="N107" s="34"/>
      <c r="O107" s="34"/>
      <c r="P107" s="34"/>
      <c r="Q107" s="34"/>
      <c r="R107" s="34"/>
      <c r="S107" s="34"/>
      <c r="T107" s="34"/>
      <c r="U107" s="34"/>
      <c r="V107" s="34"/>
      <c r="W107" s="34"/>
      <c r="X107" s="34"/>
      <c r="Y107" s="34"/>
      <c r="Z107" s="44"/>
      <c r="AA107" s="10"/>
    </row>
    <row r="108" spans="1:27" ht="32.25" customHeight="1" x14ac:dyDescent="0.3">
      <c r="A108" s="71" t="s">
        <v>137</v>
      </c>
      <c r="B108" s="76" t="s">
        <v>136</v>
      </c>
      <c r="C108" s="76"/>
      <c r="D108" s="77"/>
      <c r="E108" s="38"/>
      <c r="F108" s="34"/>
      <c r="G108" s="34"/>
      <c r="H108" s="34"/>
      <c r="I108" s="34"/>
      <c r="J108" s="34"/>
      <c r="K108" s="34"/>
      <c r="L108" s="58"/>
      <c r="M108" s="34"/>
      <c r="N108" s="34"/>
      <c r="O108" s="34"/>
      <c r="P108" s="34"/>
      <c r="Q108" s="34"/>
      <c r="R108" s="34"/>
      <c r="S108" s="34"/>
      <c r="T108" s="34"/>
      <c r="U108" s="34"/>
      <c r="V108" s="34"/>
      <c r="W108" s="34"/>
      <c r="X108" s="34"/>
      <c r="Y108" s="34"/>
      <c r="Z108" s="44"/>
      <c r="AA108" s="10"/>
    </row>
    <row r="109" spans="1:27" ht="63" customHeight="1" x14ac:dyDescent="0.3">
      <c r="A109" s="71" t="s">
        <v>138</v>
      </c>
      <c r="B109" s="76" t="s">
        <v>139</v>
      </c>
      <c r="C109" s="76"/>
      <c r="D109" s="77"/>
      <c r="E109" s="38"/>
      <c r="F109" s="34"/>
      <c r="G109" s="34"/>
      <c r="H109" s="34"/>
      <c r="I109" s="34"/>
      <c r="J109" s="34"/>
      <c r="K109" s="34"/>
      <c r="L109" s="34"/>
      <c r="M109" s="58"/>
      <c r="N109" s="34"/>
      <c r="O109" s="34"/>
      <c r="P109" s="34"/>
      <c r="Q109" s="34"/>
      <c r="R109" s="34"/>
      <c r="S109" s="34"/>
      <c r="T109" s="34"/>
      <c r="U109" s="34"/>
      <c r="V109" s="34"/>
      <c r="W109" s="34"/>
      <c r="X109" s="34"/>
      <c r="Y109" s="34"/>
      <c r="Z109" s="42"/>
      <c r="AA109" s="10"/>
    </row>
    <row r="110" spans="1:27" ht="32.25" customHeight="1" x14ac:dyDescent="0.3">
      <c r="A110" s="71" t="s">
        <v>140</v>
      </c>
      <c r="B110" s="76" t="s">
        <v>141</v>
      </c>
      <c r="C110" s="76"/>
      <c r="D110" s="77"/>
      <c r="E110" s="38"/>
      <c r="F110" s="34"/>
      <c r="G110" s="34"/>
      <c r="H110" s="34"/>
      <c r="I110" s="34"/>
      <c r="J110" s="34"/>
      <c r="K110" s="34"/>
      <c r="L110" s="34"/>
      <c r="M110" s="58"/>
      <c r="N110" s="34"/>
      <c r="O110" s="34"/>
      <c r="P110" s="34"/>
      <c r="Q110" s="34"/>
      <c r="R110" s="34"/>
      <c r="S110" s="34"/>
      <c r="T110" s="34"/>
      <c r="U110" s="34"/>
      <c r="V110" s="34"/>
      <c r="W110" s="34"/>
      <c r="X110" s="34"/>
      <c r="Y110" s="34"/>
      <c r="Z110" s="44"/>
      <c r="AA110" s="10"/>
    </row>
    <row r="111" spans="1:27" ht="32.25" customHeight="1" x14ac:dyDescent="0.3">
      <c r="A111" s="71" t="s">
        <v>142</v>
      </c>
      <c r="B111" s="76" t="s">
        <v>141</v>
      </c>
      <c r="C111" s="76"/>
      <c r="D111" s="77"/>
      <c r="E111" s="38"/>
      <c r="F111" s="34"/>
      <c r="G111" s="34"/>
      <c r="H111" s="34"/>
      <c r="I111" s="34"/>
      <c r="J111" s="34"/>
      <c r="K111" s="34"/>
      <c r="L111" s="34"/>
      <c r="M111" s="58"/>
      <c r="N111" s="34"/>
      <c r="O111" s="34"/>
      <c r="P111" s="34"/>
      <c r="Q111" s="34"/>
      <c r="R111" s="34"/>
      <c r="S111" s="41"/>
      <c r="T111" s="41"/>
      <c r="U111" s="41"/>
      <c r="V111" s="41"/>
      <c r="W111" s="41"/>
      <c r="X111" s="41"/>
      <c r="Y111" s="41"/>
      <c r="Z111" s="44"/>
      <c r="AA111" s="10"/>
    </row>
    <row r="112" spans="1:27" ht="32.25" customHeight="1" x14ac:dyDescent="0.3">
      <c r="A112" s="71" t="s">
        <v>143</v>
      </c>
      <c r="B112" s="76" t="s">
        <v>141</v>
      </c>
      <c r="C112" s="76"/>
      <c r="D112" s="77"/>
      <c r="E112" s="38"/>
      <c r="F112" s="34"/>
      <c r="G112" s="34"/>
      <c r="H112" s="34"/>
      <c r="I112" s="34"/>
      <c r="J112" s="34"/>
      <c r="K112" s="34"/>
      <c r="L112" s="34"/>
      <c r="M112" s="58"/>
      <c r="N112" s="34"/>
      <c r="O112" s="34"/>
      <c r="P112" s="34"/>
      <c r="Q112" s="34"/>
      <c r="R112" s="34"/>
      <c r="S112" s="34"/>
      <c r="T112" s="34"/>
      <c r="U112" s="34"/>
      <c r="V112" s="34"/>
      <c r="W112" s="34"/>
      <c r="X112" s="34"/>
      <c r="Y112" s="34"/>
      <c r="Z112" s="44"/>
      <c r="AA112" s="10"/>
    </row>
    <row r="113" spans="1:27" ht="69" customHeight="1" x14ac:dyDescent="0.3">
      <c r="A113" s="71" t="s">
        <v>145</v>
      </c>
      <c r="B113" s="76" t="s">
        <v>144</v>
      </c>
      <c r="C113" s="76"/>
      <c r="D113" s="77"/>
      <c r="E113" s="38"/>
      <c r="F113" s="34"/>
      <c r="G113" s="34"/>
      <c r="H113" s="34"/>
      <c r="I113" s="34"/>
      <c r="J113" s="34"/>
      <c r="K113" s="34"/>
      <c r="L113" s="34"/>
      <c r="M113" s="58"/>
      <c r="N113" s="58"/>
      <c r="O113" s="34"/>
      <c r="P113" s="34"/>
      <c r="Q113" s="34"/>
      <c r="R113" s="34"/>
      <c r="S113" s="34"/>
      <c r="T113" s="34"/>
      <c r="U113" s="34"/>
      <c r="V113" s="34"/>
      <c r="W113" s="34"/>
      <c r="X113" s="34"/>
      <c r="Y113" s="34"/>
      <c r="Z113" s="44"/>
      <c r="AA113" s="10"/>
    </row>
    <row r="114" spans="1:27" ht="32.25" customHeight="1" x14ac:dyDescent="0.3">
      <c r="A114" s="63" t="s">
        <v>146</v>
      </c>
      <c r="B114" s="76" t="s">
        <v>135</v>
      </c>
      <c r="C114" s="76"/>
      <c r="D114" s="77"/>
      <c r="E114" s="38"/>
      <c r="F114" s="34"/>
      <c r="G114" s="34"/>
      <c r="H114" s="34"/>
      <c r="I114" s="34"/>
      <c r="J114" s="34"/>
      <c r="K114" s="34"/>
      <c r="L114" s="34"/>
      <c r="M114" s="58"/>
      <c r="N114" s="34"/>
      <c r="O114" s="34"/>
      <c r="P114" s="34"/>
      <c r="Q114" s="34"/>
      <c r="R114" s="34"/>
      <c r="S114" s="34"/>
      <c r="T114" s="34"/>
      <c r="U114" s="34"/>
      <c r="V114" s="34"/>
      <c r="W114" s="34"/>
      <c r="X114" s="34"/>
      <c r="Y114" s="34"/>
      <c r="Z114" s="42"/>
      <c r="AA114" s="10"/>
    </row>
    <row r="115" spans="1:27" ht="32.25" customHeight="1" x14ac:dyDescent="0.3">
      <c r="A115" s="63" t="s">
        <v>147</v>
      </c>
      <c r="B115" s="76" t="s">
        <v>135</v>
      </c>
      <c r="C115" s="76"/>
      <c r="D115" s="77"/>
      <c r="E115" s="38"/>
      <c r="F115" s="34"/>
      <c r="G115" s="34"/>
      <c r="H115" s="34"/>
      <c r="I115" s="34"/>
      <c r="J115" s="34"/>
      <c r="K115" s="34"/>
      <c r="L115" s="34"/>
      <c r="M115" s="58"/>
      <c r="N115" s="34"/>
      <c r="O115" s="34"/>
      <c r="P115" s="34"/>
      <c r="Q115" s="34"/>
      <c r="R115" s="34"/>
      <c r="S115" s="34"/>
      <c r="T115" s="34"/>
      <c r="U115" s="34"/>
      <c r="V115" s="34"/>
      <c r="W115" s="34"/>
      <c r="X115" s="34"/>
      <c r="Y115" s="34"/>
      <c r="Z115" s="44"/>
      <c r="AA115" s="10"/>
    </row>
    <row r="116" spans="1:27" ht="64.95" customHeight="1" x14ac:dyDescent="0.3">
      <c r="A116" s="63" t="s">
        <v>148</v>
      </c>
      <c r="B116" s="76" t="s">
        <v>159</v>
      </c>
      <c r="C116" s="76"/>
      <c r="D116" s="77"/>
      <c r="E116" s="38"/>
      <c r="F116" s="34"/>
      <c r="G116" s="34"/>
      <c r="H116" s="34"/>
      <c r="I116" s="34"/>
      <c r="J116" s="34"/>
      <c r="K116" s="34"/>
      <c r="L116" s="34"/>
      <c r="M116" s="34"/>
      <c r="N116" s="58"/>
      <c r="O116" s="34"/>
      <c r="P116" s="34"/>
      <c r="Q116" s="34"/>
      <c r="R116" s="34"/>
      <c r="S116" s="41"/>
      <c r="T116" s="41"/>
      <c r="U116" s="41"/>
      <c r="V116" s="41"/>
      <c r="W116" s="41"/>
      <c r="X116" s="41"/>
      <c r="Y116" s="41"/>
      <c r="Z116" s="44"/>
      <c r="AA116" s="10"/>
    </row>
    <row r="117" spans="1:27" ht="32.25" customHeight="1" x14ac:dyDescent="0.3">
      <c r="A117" s="63" t="s">
        <v>149</v>
      </c>
      <c r="B117" s="76" t="s">
        <v>141</v>
      </c>
      <c r="C117" s="76"/>
      <c r="D117" s="77"/>
      <c r="E117" s="38"/>
      <c r="F117" s="34"/>
      <c r="G117" s="34"/>
      <c r="H117" s="34"/>
      <c r="I117" s="34"/>
      <c r="J117" s="34"/>
      <c r="K117" s="34"/>
      <c r="L117" s="34"/>
      <c r="M117" s="34"/>
      <c r="N117" s="58"/>
      <c r="O117" s="34"/>
      <c r="P117" s="34"/>
      <c r="Q117" s="34"/>
      <c r="R117" s="34"/>
      <c r="S117" s="34"/>
      <c r="T117" s="34"/>
      <c r="U117" s="34"/>
      <c r="V117" s="34"/>
      <c r="W117" s="34"/>
      <c r="X117" s="34"/>
      <c r="Y117" s="34"/>
      <c r="Z117" s="44"/>
      <c r="AA117" s="10"/>
    </row>
    <row r="118" spans="1:27" ht="32.25" customHeight="1" x14ac:dyDescent="0.3">
      <c r="A118" s="63" t="s">
        <v>150</v>
      </c>
      <c r="B118" s="76" t="s">
        <v>141</v>
      </c>
      <c r="C118" s="76"/>
      <c r="D118" s="77"/>
      <c r="E118" s="38"/>
      <c r="F118" s="34"/>
      <c r="G118" s="34"/>
      <c r="H118" s="34"/>
      <c r="I118" s="34"/>
      <c r="J118" s="34"/>
      <c r="K118" s="34"/>
      <c r="L118" s="34"/>
      <c r="M118" s="34"/>
      <c r="N118" s="58"/>
      <c r="O118" s="34"/>
      <c r="P118" s="34"/>
      <c r="Q118" s="34"/>
      <c r="R118" s="34"/>
      <c r="S118" s="34"/>
      <c r="T118" s="34"/>
      <c r="U118" s="34"/>
      <c r="V118" s="34"/>
      <c r="W118" s="34"/>
      <c r="X118" s="34"/>
      <c r="Y118" s="34"/>
      <c r="Z118" s="44"/>
      <c r="AA118" s="10"/>
    </row>
    <row r="119" spans="1:27" ht="32.25" customHeight="1" x14ac:dyDescent="0.3">
      <c r="A119" s="63" t="s">
        <v>151</v>
      </c>
      <c r="B119" s="76" t="s">
        <v>141</v>
      </c>
      <c r="C119" s="76"/>
      <c r="D119" s="77"/>
      <c r="E119" s="38"/>
      <c r="F119" s="34"/>
      <c r="G119" s="34"/>
      <c r="H119" s="34"/>
      <c r="I119" s="34"/>
      <c r="J119" s="34"/>
      <c r="K119" s="34"/>
      <c r="L119" s="34"/>
      <c r="M119" s="34"/>
      <c r="N119" s="58"/>
      <c r="O119" s="34"/>
      <c r="P119" s="34"/>
      <c r="Q119" s="34"/>
      <c r="R119" s="34"/>
      <c r="S119" s="34"/>
      <c r="T119" s="34"/>
      <c r="U119" s="34"/>
      <c r="V119" s="34"/>
      <c r="W119" s="34"/>
      <c r="X119" s="34"/>
      <c r="Y119" s="34"/>
      <c r="Z119" s="42"/>
      <c r="AA119" s="10"/>
    </row>
    <row r="120" spans="1:27" ht="64.95" customHeight="1" x14ac:dyDescent="0.3">
      <c r="A120" s="63" t="s">
        <v>152</v>
      </c>
      <c r="B120" s="76" t="s">
        <v>160</v>
      </c>
      <c r="C120" s="76"/>
      <c r="D120" s="77"/>
      <c r="E120" s="38"/>
      <c r="F120" s="34"/>
      <c r="G120" s="34"/>
      <c r="H120" s="34"/>
      <c r="I120" s="34"/>
      <c r="J120" s="34"/>
      <c r="K120" s="34"/>
      <c r="L120" s="34"/>
      <c r="M120" s="34"/>
      <c r="N120" s="58"/>
      <c r="O120" s="58"/>
      <c r="P120" s="34"/>
      <c r="Q120" s="34"/>
      <c r="R120" s="34"/>
      <c r="S120" s="34"/>
      <c r="T120" s="34"/>
      <c r="U120" s="34"/>
      <c r="V120" s="34"/>
      <c r="W120" s="34"/>
      <c r="X120" s="34"/>
      <c r="Y120" s="34"/>
      <c r="Z120" s="44"/>
      <c r="AA120" s="10"/>
    </row>
    <row r="121" spans="1:27" ht="32.25" customHeight="1" x14ac:dyDescent="0.3">
      <c r="A121" s="63" t="s">
        <v>153</v>
      </c>
      <c r="B121" s="76" t="s">
        <v>135</v>
      </c>
      <c r="C121" s="76"/>
      <c r="D121" s="77"/>
      <c r="E121" s="38"/>
      <c r="F121" s="34"/>
      <c r="G121" s="34"/>
      <c r="H121" s="34"/>
      <c r="I121" s="34"/>
      <c r="J121" s="34"/>
      <c r="K121" s="34"/>
      <c r="L121" s="34"/>
      <c r="M121" s="34"/>
      <c r="N121" s="58"/>
      <c r="O121" s="58"/>
      <c r="P121" s="34"/>
      <c r="Q121" s="34"/>
      <c r="R121" s="34"/>
      <c r="S121" s="41"/>
      <c r="T121" s="41"/>
      <c r="U121" s="41"/>
      <c r="V121" s="41"/>
      <c r="W121" s="41"/>
      <c r="X121" s="41"/>
      <c r="Y121" s="41"/>
      <c r="Z121" s="44"/>
      <c r="AA121" s="10"/>
    </row>
    <row r="122" spans="1:27" ht="32.25" customHeight="1" x14ac:dyDescent="0.3">
      <c r="A122" s="63" t="s">
        <v>154</v>
      </c>
      <c r="B122" s="76" t="s">
        <v>135</v>
      </c>
      <c r="C122" s="76"/>
      <c r="D122" s="77"/>
      <c r="E122" s="38"/>
      <c r="F122" s="34"/>
      <c r="G122" s="34"/>
      <c r="H122" s="34"/>
      <c r="I122" s="34"/>
      <c r="J122" s="34"/>
      <c r="K122" s="34"/>
      <c r="L122" s="34"/>
      <c r="M122" s="34"/>
      <c r="N122" s="58"/>
      <c r="O122" s="58"/>
      <c r="P122" s="34"/>
      <c r="Q122" s="34"/>
      <c r="R122" s="34"/>
      <c r="S122" s="34"/>
      <c r="T122" s="34"/>
      <c r="U122" s="34"/>
      <c r="V122" s="34"/>
      <c r="W122" s="34"/>
      <c r="X122" s="34"/>
      <c r="Y122" s="34"/>
      <c r="Z122" s="44"/>
      <c r="AA122" s="10"/>
    </row>
    <row r="123" spans="1:27" ht="70.05" customHeight="1" x14ac:dyDescent="0.3">
      <c r="A123" s="63" t="s">
        <v>155</v>
      </c>
      <c r="B123" s="76" t="s">
        <v>161</v>
      </c>
      <c r="C123" s="76"/>
      <c r="D123" s="77"/>
      <c r="E123" s="38"/>
      <c r="F123" s="34"/>
      <c r="G123" s="34"/>
      <c r="H123" s="34"/>
      <c r="I123" s="34"/>
      <c r="J123" s="34"/>
      <c r="K123" s="34"/>
      <c r="L123" s="34"/>
      <c r="M123" s="34"/>
      <c r="N123" s="58"/>
      <c r="O123" s="58"/>
      <c r="P123" s="34"/>
      <c r="Q123" s="34"/>
      <c r="R123" s="34"/>
      <c r="S123" s="34"/>
      <c r="T123" s="34"/>
      <c r="U123" s="34"/>
      <c r="V123" s="34"/>
      <c r="W123" s="34"/>
      <c r="X123" s="34"/>
      <c r="Y123" s="34"/>
      <c r="Z123" s="44"/>
      <c r="AA123" s="10"/>
    </row>
    <row r="124" spans="1:27" ht="32.25" customHeight="1" x14ac:dyDescent="0.3">
      <c r="A124" s="63" t="s">
        <v>156</v>
      </c>
      <c r="B124" s="76" t="s">
        <v>135</v>
      </c>
      <c r="C124" s="76"/>
      <c r="D124" s="77"/>
      <c r="E124" s="38"/>
      <c r="F124" s="34"/>
      <c r="G124" s="34"/>
      <c r="H124" s="34"/>
      <c r="I124" s="34"/>
      <c r="J124" s="34"/>
      <c r="K124" s="34"/>
      <c r="L124" s="34"/>
      <c r="M124" s="34"/>
      <c r="N124" s="34"/>
      <c r="O124" s="58"/>
      <c r="P124" s="34"/>
      <c r="Q124" s="34"/>
      <c r="R124" s="34"/>
      <c r="S124" s="34"/>
      <c r="T124" s="34"/>
      <c r="U124" s="34"/>
      <c r="V124" s="34"/>
      <c r="W124" s="34"/>
      <c r="X124" s="34"/>
      <c r="Y124" s="34"/>
      <c r="Z124" s="42"/>
      <c r="AA124" s="10"/>
    </row>
    <row r="125" spans="1:27" ht="32.25" customHeight="1" x14ac:dyDescent="0.3">
      <c r="A125" s="63" t="s">
        <v>157</v>
      </c>
      <c r="B125" s="76" t="s">
        <v>135</v>
      </c>
      <c r="C125" s="76"/>
      <c r="D125" s="77"/>
      <c r="E125" s="38"/>
      <c r="F125" s="34"/>
      <c r="G125" s="34"/>
      <c r="H125" s="34"/>
      <c r="I125" s="34"/>
      <c r="J125" s="34"/>
      <c r="K125" s="34"/>
      <c r="L125" s="34"/>
      <c r="M125" s="34"/>
      <c r="N125" s="34"/>
      <c r="O125" s="58"/>
      <c r="P125" s="34"/>
      <c r="Q125" s="34"/>
      <c r="R125" s="34"/>
      <c r="S125" s="41"/>
      <c r="T125" s="41"/>
      <c r="U125" s="41"/>
      <c r="V125" s="41"/>
      <c r="W125" s="41"/>
      <c r="X125" s="41"/>
      <c r="Y125" s="41"/>
      <c r="Z125" s="44"/>
      <c r="AA125" s="10"/>
    </row>
    <row r="126" spans="1:27" ht="32.25" customHeight="1" x14ac:dyDescent="0.3">
      <c r="A126" s="63" t="s">
        <v>158</v>
      </c>
      <c r="B126" s="76" t="s">
        <v>135</v>
      </c>
      <c r="C126" s="76"/>
      <c r="D126" s="77"/>
      <c r="E126" s="38"/>
      <c r="F126" s="34"/>
      <c r="G126" s="34"/>
      <c r="H126" s="34"/>
      <c r="I126" s="34"/>
      <c r="J126" s="34"/>
      <c r="K126" s="34"/>
      <c r="L126" s="34"/>
      <c r="M126" s="34"/>
      <c r="N126" s="34"/>
      <c r="O126" s="58"/>
      <c r="P126" s="34"/>
      <c r="Q126" s="34"/>
      <c r="R126" s="34"/>
      <c r="S126" s="34"/>
      <c r="T126" s="34"/>
      <c r="U126" s="34"/>
      <c r="V126" s="34"/>
      <c r="W126" s="34"/>
      <c r="X126" s="34"/>
      <c r="Y126" s="34"/>
      <c r="Z126" s="44"/>
      <c r="AA126" s="10"/>
    </row>
    <row r="127" spans="1:27" ht="73.05" customHeight="1" x14ac:dyDescent="0.3">
      <c r="A127" s="63" t="s">
        <v>162</v>
      </c>
      <c r="B127" s="76" t="s">
        <v>174</v>
      </c>
      <c r="C127" s="76"/>
      <c r="D127" s="77"/>
      <c r="E127" s="38"/>
      <c r="F127" s="34"/>
      <c r="G127" s="34"/>
      <c r="H127" s="34"/>
      <c r="I127" s="34"/>
      <c r="J127" s="34"/>
      <c r="K127" s="34"/>
      <c r="L127" s="34"/>
      <c r="M127" s="58"/>
      <c r="O127" s="34"/>
      <c r="P127" s="34"/>
      <c r="Q127" s="34"/>
      <c r="R127" s="34"/>
      <c r="S127" s="34"/>
      <c r="T127" s="34"/>
      <c r="U127" s="34"/>
      <c r="V127" s="34"/>
      <c r="W127" s="34"/>
      <c r="X127" s="34"/>
      <c r="Y127" s="34"/>
      <c r="Z127" s="44"/>
      <c r="AA127" s="10"/>
    </row>
    <row r="128" spans="1:27" ht="32.25" customHeight="1" x14ac:dyDescent="0.3">
      <c r="A128" s="63" t="s">
        <v>163</v>
      </c>
      <c r="B128" s="76" t="s">
        <v>135</v>
      </c>
      <c r="C128" s="76"/>
      <c r="D128" s="77"/>
      <c r="E128" s="38"/>
      <c r="F128" s="34"/>
      <c r="G128" s="34"/>
      <c r="H128" s="34"/>
      <c r="I128" s="34"/>
      <c r="J128" s="34"/>
      <c r="K128" s="34"/>
      <c r="L128" s="34"/>
      <c r="M128" s="58"/>
      <c r="N128" s="34"/>
      <c r="O128" s="34"/>
      <c r="P128" s="34"/>
      <c r="Q128" s="34"/>
      <c r="R128" s="34"/>
      <c r="S128" s="34"/>
      <c r="T128" s="34"/>
      <c r="U128" s="34"/>
      <c r="V128" s="34"/>
      <c r="W128" s="34"/>
      <c r="X128" s="34"/>
      <c r="Y128" s="34"/>
      <c r="Z128" s="42"/>
      <c r="AA128" s="10"/>
    </row>
    <row r="129" spans="1:27" ht="32.25" customHeight="1" x14ac:dyDescent="0.3">
      <c r="A129" s="63" t="s">
        <v>164</v>
      </c>
      <c r="B129" s="76" t="s">
        <v>135</v>
      </c>
      <c r="C129" s="76"/>
      <c r="D129" s="77"/>
      <c r="E129" s="38"/>
      <c r="F129" s="34"/>
      <c r="G129" s="34"/>
      <c r="H129" s="34"/>
      <c r="I129" s="34"/>
      <c r="J129" s="34"/>
      <c r="K129" s="34"/>
      <c r="L129" s="34"/>
      <c r="M129" s="58"/>
      <c r="N129" s="34"/>
      <c r="O129" s="34"/>
      <c r="P129" s="34"/>
      <c r="Q129" s="34"/>
      <c r="R129" s="34"/>
      <c r="S129" s="34"/>
      <c r="T129" s="34"/>
      <c r="U129" s="34"/>
      <c r="V129" s="34"/>
      <c r="W129" s="34"/>
      <c r="X129" s="34"/>
      <c r="Y129" s="34"/>
      <c r="Z129" s="44"/>
      <c r="AA129" s="10"/>
    </row>
    <row r="130" spans="1:27" ht="73.05" customHeight="1" x14ac:dyDescent="0.3">
      <c r="A130" s="63" t="s">
        <v>165</v>
      </c>
      <c r="B130" s="76" t="s">
        <v>175</v>
      </c>
      <c r="C130" s="76"/>
      <c r="D130" s="77"/>
      <c r="E130" s="38"/>
      <c r="F130" s="34"/>
      <c r="G130" s="34"/>
      <c r="H130" s="34"/>
      <c r="I130" s="34"/>
      <c r="J130" s="34"/>
      <c r="K130" s="34"/>
      <c r="L130" s="34"/>
      <c r="M130" s="34"/>
      <c r="N130" s="34"/>
      <c r="O130" s="58"/>
      <c r="P130" s="34"/>
      <c r="Q130" s="34"/>
      <c r="R130" s="34"/>
      <c r="S130" s="41"/>
      <c r="T130" s="41"/>
      <c r="U130" s="41"/>
      <c r="V130" s="41"/>
      <c r="W130" s="41"/>
      <c r="X130" s="41"/>
      <c r="Y130" s="41"/>
      <c r="Z130" s="44"/>
      <c r="AA130" s="10"/>
    </row>
    <row r="131" spans="1:27" ht="32.25" customHeight="1" x14ac:dyDescent="0.3">
      <c r="A131" s="63" t="s">
        <v>166</v>
      </c>
      <c r="B131" s="76" t="s">
        <v>141</v>
      </c>
      <c r="C131" s="76"/>
      <c r="D131" s="77"/>
      <c r="E131" s="38"/>
      <c r="F131" s="34"/>
      <c r="G131" s="34"/>
      <c r="H131" s="34"/>
      <c r="I131" s="34"/>
      <c r="J131" s="34"/>
      <c r="K131" s="34"/>
      <c r="L131" s="34"/>
      <c r="M131" s="34"/>
      <c r="N131" s="34"/>
      <c r="O131" s="58"/>
      <c r="P131" s="34"/>
      <c r="Q131" s="34"/>
      <c r="R131" s="34"/>
      <c r="S131" s="34"/>
      <c r="T131" s="34"/>
      <c r="U131" s="34"/>
      <c r="V131" s="34"/>
      <c r="W131" s="34"/>
      <c r="X131" s="34"/>
      <c r="Y131" s="34"/>
      <c r="Z131" s="44"/>
      <c r="AA131" s="10"/>
    </row>
    <row r="132" spans="1:27" ht="32.25" customHeight="1" x14ac:dyDescent="0.3">
      <c r="A132" s="63" t="s">
        <v>167</v>
      </c>
      <c r="B132" s="76" t="s">
        <v>141</v>
      </c>
      <c r="C132" s="76"/>
      <c r="D132" s="77"/>
      <c r="E132" s="38"/>
      <c r="F132" s="34"/>
      <c r="G132" s="34"/>
      <c r="H132" s="34"/>
      <c r="I132" s="34"/>
      <c r="J132" s="34"/>
      <c r="K132" s="34"/>
      <c r="L132" s="34"/>
      <c r="M132" s="34"/>
      <c r="N132" s="34"/>
      <c r="O132" s="58"/>
      <c r="P132" s="34"/>
      <c r="Q132" s="34"/>
      <c r="R132" s="34"/>
      <c r="S132" s="34"/>
      <c r="T132" s="34"/>
      <c r="U132" s="34"/>
      <c r="V132" s="34"/>
      <c r="W132" s="34"/>
      <c r="X132" s="34"/>
      <c r="Y132" s="34"/>
      <c r="Z132" s="44"/>
      <c r="AA132" s="10"/>
    </row>
    <row r="133" spans="1:27" ht="32.25" customHeight="1" x14ac:dyDescent="0.3">
      <c r="A133" s="63" t="s">
        <v>168</v>
      </c>
      <c r="B133" s="76" t="s">
        <v>141</v>
      </c>
      <c r="C133" s="76"/>
      <c r="D133" s="77"/>
      <c r="E133" s="38"/>
      <c r="F133" s="34"/>
      <c r="G133" s="34"/>
      <c r="H133" s="34"/>
      <c r="I133" s="34"/>
      <c r="J133" s="34"/>
      <c r="K133" s="34"/>
      <c r="L133" s="34"/>
      <c r="M133" s="34"/>
      <c r="N133" s="34"/>
      <c r="O133" s="58"/>
      <c r="P133" s="34"/>
      <c r="Q133" s="34"/>
      <c r="R133" s="34"/>
      <c r="S133" s="34"/>
      <c r="T133" s="34"/>
      <c r="U133" s="34"/>
      <c r="V133" s="34"/>
      <c r="W133" s="34"/>
      <c r="X133" s="34"/>
      <c r="Y133" s="34"/>
      <c r="Z133" s="42"/>
      <c r="AA133" s="10"/>
    </row>
    <row r="134" spans="1:27" ht="64.05" customHeight="1" x14ac:dyDescent="0.3">
      <c r="A134" s="63" t="s">
        <v>169</v>
      </c>
      <c r="B134" s="76" t="s">
        <v>176</v>
      </c>
      <c r="C134" s="76"/>
      <c r="D134" s="77"/>
      <c r="E134" s="38"/>
      <c r="F134" s="34"/>
      <c r="G134" s="34"/>
      <c r="H134" s="34"/>
      <c r="I134" s="34"/>
      <c r="J134" s="34"/>
      <c r="K134" s="34"/>
      <c r="L134" s="34"/>
      <c r="M134" s="34"/>
      <c r="N134" s="34"/>
      <c r="O134" s="58"/>
      <c r="P134" s="58"/>
      <c r="Q134" s="34"/>
      <c r="R134" s="34"/>
      <c r="S134" s="34"/>
      <c r="T134" s="34"/>
      <c r="U134" s="34"/>
      <c r="V134" s="34"/>
      <c r="W134" s="34"/>
      <c r="X134" s="34"/>
      <c r="Y134" s="34"/>
      <c r="Z134" s="44"/>
      <c r="AA134" s="10"/>
    </row>
    <row r="135" spans="1:27" ht="32.25" customHeight="1" x14ac:dyDescent="0.3">
      <c r="A135" s="63" t="s">
        <v>170</v>
      </c>
      <c r="B135" s="76" t="s">
        <v>135</v>
      </c>
      <c r="C135" s="76"/>
      <c r="D135" s="77"/>
      <c r="E135" s="38"/>
      <c r="F135" s="34"/>
      <c r="G135" s="34"/>
      <c r="H135" s="34"/>
      <c r="I135" s="34"/>
      <c r="J135" s="34"/>
      <c r="K135" s="34"/>
      <c r="L135" s="34"/>
      <c r="M135" s="34"/>
      <c r="N135" s="34"/>
      <c r="O135" s="58"/>
      <c r="P135" s="58"/>
      <c r="Q135" s="34"/>
      <c r="R135" s="34"/>
      <c r="S135" s="34"/>
      <c r="T135" s="34"/>
      <c r="U135" s="34"/>
      <c r="V135" s="34"/>
      <c r="W135" s="34"/>
      <c r="X135" s="34"/>
      <c r="Y135" s="34"/>
      <c r="Z135" s="44"/>
      <c r="AA135" s="10"/>
    </row>
    <row r="136" spans="1:27" ht="32.25" customHeight="1" x14ac:dyDescent="0.3">
      <c r="A136" s="63" t="s">
        <v>171</v>
      </c>
      <c r="B136" s="76" t="s">
        <v>135</v>
      </c>
      <c r="C136" s="76"/>
      <c r="D136" s="77"/>
      <c r="E136" s="38"/>
      <c r="F136" s="34"/>
      <c r="G136" s="34"/>
      <c r="H136" s="34"/>
      <c r="I136" s="34"/>
      <c r="J136" s="34"/>
      <c r="K136" s="34"/>
      <c r="L136" s="34"/>
      <c r="M136" s="34"/>
      <c r="N136" s="34"/>
      <c r="O136" s="58"/>
      <c r="P136" s="58"/>
      <c r="Q136" s="34"/>
      <c r="R136" s="34"/>
      <c r="S136" s="34"/>
      <c r="T136" s="34"/>
      <c r="U136" s="34"/>
      <c r="V136" s="34"/>
      <c r="W136" s="34"/>
      <c r="X136" s="34"/>
      <c r="Y136" s="34"/>
      <c r="Z136" s="44"/>
      <c r="AA136" s="10"/>
    </row>
    <row r="137" spans="1:27" ht="61.05" customHeight="1" x14ac:dyDescent="0.3">
      <c r="A137" s="63" t="s">
        <v>172</v>
      </c>
      <c r="B137" s="76" t="s">
        <v>177</v>
      </c>
      <c r="C137" s="76"/>
      <c r="D137" s="77"/>
      <c r="E137" s="38"/>
      <c r="F137" s="34"/>
      <c r="G137" s="34"/>
      <c r="H137" s="34"/>
      <c r="I137" s="34"/>
      <c r="J137" s="34"/>
      <c r="K137" s="34"/>
      <c r="L137" s="34"/>
      <c r="M137" s="34"/>
      <c r="N137" s="34"/>
      <c r="O137" s="58"/>
      <c r="P137" s="34"/>
      <c r="Q137" s="34"/>
      <c r="R137" s="34"/>
      <c r="S137" s="34"/>
      <c r="T137" s="34"/>
      <c r="U137" s="34"/>
      <c r="V137" s="34"/>
      <c r="W137" s="34"/>
      <c r="X137" s="34"/>
      <c r="Y137" s="34"/>
      <c r="Z137" s="42"/>
      <c r="AA137" s="10"/>
    </row>
    <row r="138" spans="1:27" ht="32.25" customHeight="1" x14ac:dyDescent="0.3">
      <c r="A138" s="63" t="s">
        <v>173</v>
      </c>
      <c r="B138" s="76" t="s">
        <v>141</v>
      </c>
      <c r="C138" s="76"/>
      <c r="D138" s="77"/>
      <c r="E138" s="38"/>
      <c r="F138" s="34"/>
      <c r="G138" s="34"/>
      <c r="H138" s="34"/>
      <c r="I138" s="34"/>
      <c r="J138" s="34"/>
      <c r="K138" s="34"/>
      <c r="L138" s="34"/>
      <c r="M138" s="34"/>
      <c r="N138" s="34"/>
      <c r="O138" s="58"/>
      <c r="P138" s="34"/>
      <c r="Q138" s="34"/>
      <c r="R138" s="34"/>
      <c r="S138" s="34"/>
      <c r="T138" s="34"/>
      <c r="U138" s="34"/>
      <c r="V138" s="34"/>
      <c r="W138" s="34"/>
      <c r="X138" s="34"/>
      <c r="Y138" s="34"/>
      <c r="Z138" s="44"/>
      <c r="AA138" s="10"/>
    </row>
    <row r="139" spans="1:27" ht="32.25" customHeight="1" x14ac:dyDescent="0.3">
      <c r="A139" s="63" t="s">
        <v>178</v>
      </c>
      <c r="B139" s="76" t="s">
        <v>141</v>
      </c>
      <c r="C139" s="76"/>
      <c r="D139" s="77"/>
      <c r="E139" s="38"/>
      <c r="F139" s="34"/>
      <c r="G139" s="34"/>
      <c r="H139" s="34"/>
      <c r="I139" s="34"/>
      <c r="J139" s="34"/>
      <c r="K139" s="34"/>
      <c r="L139" s="34"/>
      <c r="M139" s="34"/>
      <c r="N139" s="34"/>
      <c r="O139" s="58"/>
      <c r="P139" s="34"/>
      <c r="Q139" s="34"/>
      <c r="R139" s="34"/>
      <c r="S139" s="41"/>
      <c r="T139" s="41"/>
      <c r="U139" s="41"/>
      <c r="V139" s="41"/>
      <c r="W139" s="41"/>
      <c r="X139" s="41"/>
      <c r="Y139" s="41"/>
      <c r="Z139" s="44"/>
      <c r="AA139" s="10"/>
    </row>
    <row r="140" spans="1:27" ht="32.25" customHeight="1" x14ac:dyDescent="0.3">
      <c r="A140" s="63" t="s">
        <v>179</v>
      </c>
      <c r="B140" s="76" t="s">
        <v>141</v>
      </c>
      <c r="C140" s="76"/>
      <c r="D140" s="77"/>
      <c r="E140" s="38"/>
      <c r="F140" s="34"/>
      <c r="G140" s="34"/>
      <c r="H140" s="34"/>
      <c r="I140" s="34"/>
      <c r="J140" s="34"/>
      <c r="K140" s="34"/>
      <c r="L140" s="34"/>
      <c r="M140" s="34"/>
      <c r="N140" s="34"/>
      <c r="O140" s="58"/>
      <c r="P140" s="34"/>
      <c r="Q140" s="34"/>
      <c r="R140" s="34"/>
      <c r="S140" s="34"/>
      <c r="T140" s="34"/>
      <c r="U140" s="34"/>
      <c r="V140" s="34"/>
      <c r="W140" s="34"/>
      <c r="X140" s="34"/>
      <c r="Y140" s="34"/>
      <c r="Z140" s="44"/>
      <c r="AA140" s="10"/>
    </row>
    <row r="141" spans="1:27" ht="67.95" customHeight="1" x14ac:dyDescent="0.3">
      <c r="A141" s="63" t="s">
        <v>180</v>
      </c>
      <c r="B141" s="76" t="s">
        <v>203</v>
      </c>
      <c r="C141" s="76"/>
      <c r="D141" s="77"/>
      <c r="E141" s="38"/>
      <c r="F141" s="34"/>
      <c r="G141" s="34"/>
      <c r="H141" s="34"/>
      <c r="I141" s="34"/>
      <c r="J141" s="34"/>
      <c r="K141" s="34"/>
      <c r="L141" s="34"/>
      <c r="M141" s="34"/>
      <c r="N141" s="34"/>
      <c r="O141" s="34"/>
      <c r="P141" s="58"/>
      <c r="Q141" s="34"/>
      <c r="R141" s="34"/>
      <c r="S141" s="34"/>
      <c r="T141" s="34"/>
      <c r="U141" s="34"/>
      <c r="V141" s="34"/>
      <c r="W141" s="34"/>
      <c r="X141" s="34"/>
      <c r="Y141" s="34"/>
      <c r="Z141" s="44"/>
      <c r="AA141" s="10"/>
    </row>
    <row r="142" spans="1:27" ht="67.05" customHeight="1" x14ac:dyDescent="0.3">
      <c r="A142" s="63" t="s">
        <v>181</v>
      </c>
      <c r="B142" s="76" t="s">
        <v>204</v>
      </c>
      <c r="C142" s="76"/>
      <c r="D142" s="77"/>
      <c r="E142" s="38"/>
      <c r="F142" s="34"/>
      <c r="G142" s="34"/>
      <c r="H142" s="34"/>
      <c r="I142" s="34"/>
      <c r="J142" s="34"/>
      <c r="K142" s="34"/>
      <c r="L142" s="34"/>
      <c r="M142" s="34"/>
      <c r="N142" s="34"/>
      <c r="O142" s="34"/>
      <c r="P142" s="58"/>
      <c r="Q142" s="34"/>
      <c r="R142" s="34"/>
      <c r="S142" s="34"/>
      <c r="T142" s="34"/>
      <c r="U142" s="34"/>
      <c r="V142" s="34"/>
      <c r="W142" s="34"/>
      <c r="X142" s="34"/>
      <c r="Y142" s="34"/>
      <c r="Z142" s="42"/>
      <c r="AA142" s="10"/>
    </row>
    <row r="143" spans="1:27" ht="67.95" customHeight="1" x14ac:dyDescent="0.3">
      <c r="A143" s="63" t="s">
        <v>182</v>
      </c>
      <c r="B143" s="76" t="s">
        <v>205</v>
      </c>
      <c r="C143" s="76"/>
      <c r="D143" s="77"/>
      <c r="E143" s="38"/>
      <c r="F143" s="34"/>
      <c r="G143" s="34"/>
      <c r="H143" s="34"/>
      <c r="I143" s="34"/>
      <c r="J143" s="34"/>
      <c r="K143" s="34"/>
      <c r="L143" s="34"/>
      <c r="M143" s="34"/>
      <c r="N143" s="34"/>
      <c r="O143" s="34"/>
      <c r="P143" s="58"/>
      <c r="Q143" s="34"/>
      <c r="R143" s="34"/>
      <c r="S143" s="41"/>
      <c r="T143" s="41"/>
      <c r="U143" s="41"/>
      <c r="V143" s="41"/>
      <c r="W143" s="41"/>
      <c r="X143" s="41"/>
      <c r="Y143" s="41"/>
      <c r="Z143" s="44"/>
      <c r="AA143" s="10"/>
    </row>
    <row r="144" spans="1:27" ht="32.25" customHeight="1" x14ac:dyDescent="0.3">
      <c r="A144" s="63" t="s">
        <v>183</v>
      </c>
      <c r="B144" s="76" t="s">
        <v>206</v>
      </c>
      <c r="C144" s="76"/>
      <c r="D144" s="77"/>
      <c r="E144" s="38"/>
      <c r="F144" s="34"/>
      <c r="G144" s="34"/>
      <c r="H144" s="34"/>
      <c r="I144" s="34"/>
      <c r="J144" s="34"/>
      <c r="K144" s="34"/>
      <c r="L144" s="34"/>
      <c r="M144" s="34"/>
      <c r="N144" s="34"/>
      <c r="O144" s="34"/>
      <c r="P144" s="58"/>
      <c r="Q144" s="34"/>
      <c r="R144" s="34"/>
      <c r="S144" s="34"/>
      <c r="T144" s="34"/>
      <c r="U144" s="34"/>
      <c r="V144" s="34"/>
      <c r="W144" s="34"/>
      <c r="X144" s="34"/>
      <c r="Y144" s="34"/>
      <c r="Z144" s="44"/>
      <c r="AA144" s="10"/>
    </row>
    <row r="145" spans="1:27" ht="32.25" customHeight="1" x14ac:dyDescent="0.3">
      <c r="A145" s="63" t="s">
        <v>184</v>
      </c>
      <c r="B145" s="76" t="s">
        <v>207</v>
      </c>
      <c r="C145" s="76"/>
      <c r="D145" s="77"/>
      <c r="E145" s="38"/>
      <c r="F145" s="34"/>
      <c r="G145" s="34"/>
      <c r="H145" s="34"/>
      <c r="I145" s="34"/>
      <c r="J145" s="34"/>
      <c r="K145" s="34"/>
      <c r="L145" s="34"/>
      <c r="M145" s="34"/>
      <c r="N145" s="34"/>
      <c r="O145" s="34"/>
      <c r="P145" s="58"/>
      <c r="Q145" s="58"/>
      <c r="R145" s="34"/>
      <c r="S145" s="34"/>
      <c r="T145" s="34"/>
      <c r="U145" s="34"/>
      <c r="V145" s="34"/>
      <c r="W145" s="34"/>
      <c r="X145" s="34"/>
      <c r="Y145" s="34"/>
      <c r="Z145" s="44"/>
      <c r="AA145" s="10"/>
    </row>
    <row r="146" spans="1:27" ht="32.25" customHeight="1" x14ac:dyDescent="0.3">
      <c r="A146" s="63" t="s">
        <v>185</v>
      </c>
      <c r="B146" s="76" t="s">
        <v>208</v>
      </c>
      <c r="C146" s="76"/>
      <c r="D146" s="77"/>
      <c r="E146" s="38"/>
      <c r="F146" s="34"/>
      <c r="G146" s="34"/>
      <c r="H146" s="34"/>
      <c r="I146" s="34"/>
      <c r="J146" s="34"/>
      <c r="K146" s="34"/>
      <c r="L146" s="34"/>
      <c r="M146" s="34"/>
      <c r="N146" s="34"/>
      <c r="O146" s="34"/>
      <c r="P146" s="58"/>
      <c r="Q146" s="58"/>
      <c r="R146" s="34"/>
      <c r="S146" s="34"/>
      <c r="T146" s="34"/>
      <c r="U146" s="34"/>
      <c r="V146" s="34"/>
      <c r="W146" s="34"/>
      <c r="X146" s="34"/>
      <c r="Y146" s="34"/>
      <c r="Z146" s="42"/>
      <c r="AA146" s="10"/>
    </row>
    <row r="147" spans="1:27" ht="73.05" customHeight="1" x14ac:dyDescent="0.3">
      <c r="A147" s="63" t="s">
        <v>186</v>
      </c>
      <c r="B147" s="76" t="s">
        <v>209</v>
      </c>
      <c r="C147" s="76"/>
      <c r="D147" s="77"/>
      <c r="E147" s="38"/>
      <c r="F147" s="34"/>
      <c r="G147" s="34"/>
      <c r="H147" s="34"/>
      <c r="I147" s="34"/>
      <c r="J147" s="34"/>
      <c r="K147" s="34"/>
      <c r="L147" s="34"/>
      <c r="M147" s="34"/>
      <c r="N147" s="34"/>
      <c r="O147" s="34"/>
      <c r="P147" s="34"/>
      <c r="Q147" s="58"/>
      <c r="R147" s="34"/>
      <c r="S147" s="34"/>
      <c r="T147" s="34"/>
      <c r="U147" s="34"/>
      <c r="V147" s="34"/>
      <c r="W147" s="34"/>
      <c r="X147" s="34"/>
      <c r="Y147" s="34"/>
      <c r="Z147" s="44"/>
      <c r="AA147" s="10"/>
    </row>
    <row r="148" spans="1:27" ht="32.25" customHeight="1" x14ac:dyDescent="0.3">
      <c r="A148" s="63" t="s">
        <v>187</v>
      </c>
      <c r="B148" s="76" t="s">
        <v>210</v>
      </c>
      <c r="C148" s="76"/>
      <c r="D148" s="77"/>
      <c r="E148" s="38"/>
      <c r="F148" s="34"/>
      <c r="G148" s="34"/>
      <c r="H148" s="34"/>
      <c r="I148" s="34"/>
      <c r="J148" s="34"/>
      <c r="K148" s="34"/>
      <c r="L148" s="34"/>
      <c r="M148" s="34"/>
      <c r="N148" s="34"/>
      <c r="O148" s="34"/>
      <c r="P148" s="34"/>
      <c r="Q148" s="58"/>
      <c r="R148" s="34"/>
      <c r="S148" s="41"/>
      <c r="T148" s="41"/>
      <c r="U148" s="41"/>
      <c r="V148" s="41"/>
      <c r="W148" s="41"/>
      <c r="X148" s="41"/>
      <c r="Y148" s="41"/>
      <c r="Z148" s="44"/>
      <c r="AA148" s="10"/>
    </row>
    <row r="149" spans="1:27" ht="32.25" customHeight="1" x14ac:dyDescent="0.3">
      <c r="A149" s="63" t="s">
        <v>188</v>
      </c>
      <c r="B149" s="76" t="s">
        <v>210</v>
      </c>
      <c r="C149" s="76"/>
      <c r="D149" s="77"/>
      <c r="E149" s="38"/>
      <c r="F149" s="34"/>
      <c r="G149" s="34"/>
      <c r="H149" s="34"/>
      <c r="I149" s="34"/>
      <c r="J149" s="34"/>
      <c r="K149" s="34"/>
      <c r="L149" s="34"/>
      <c r="M149" s="34"/>
      <c r="N149" s="34"/>
      <c r="O149" s="34"/>
      <c r="P149" s="34"/>
      <c r="Q149" s="58"/>
      <c r="R149" s="34"/>
      <c r="S149" s="34"/>
      <c r="T149" s="34"/>
      <c r="U149" s="34"/>
      <c r="V149" s="34"/>
      <c r="W149" s="34"/>
      <c r="X149" s="34"/>
      <c r="Y149" s="34"/>
      <c r="Z149" s="44"/>
      <c r="AA149" s="10"/>
    </row>
    <row r="150" spans="1:27" ht="69" customHeight="1" x14ac:dyDescent="0.3">
      <c r="A150" s="63" t="s">
        <v>189</v>
      </c>
      <c r="B150" s="76" t="s">
        <v>211</v>
      </c>
      <c r="C150" s="76"/>
      <c r="D150" s="77"/>
      <c r="E150" s="38"/>
      <c r="F150" s="34"/>
      <c r="G150" s="34"/>
      <c r="H150" s="34"/>
      <c r="I150" s="34"/>
      <c r="J150" s="34"/>
      <c r="K150" s="34"/>
      <c r="L150" s="34"/>
      <c r="M150" s="34"/>
      <c r="N150" s="34"/>
      <c r="O150" s="34"/>
      <c r="P150" s="58"/>
      <c r="Q150" s="34"/>
      <c r="R150" s="34"/>
      <c r="S150" s="34"/>
      <c r="T150" s="34"/>
      <c r="U150" s="34"/>
      <c r="V150" s="34"/>
      <c r="W150" s="34"/>
      <c r="X150" s="34"/>
      <c r="Y150" s="34"/>
      <c r="Z150" s="44"/>
      <c r="AA150" s="10"/>
    </row>
    <row r="151" spans="1:27" ht="32.25" customHeight="1" x14ac:dyDescent="0.3">
      <c r="A151" s="63" t="s">
        <v>190</v>
      </c>
      <c r="B151" s="76" t="s">
        <v>212</v>
      </c>
      <c r="C151" s="76"/>
      <c r="D151" s="77"/>
      <c r="E151" s="38"/>
      <c r="F151" s="34"/>
      <c r="G151" s="34"/>
      <c r="H151" s="34"/>
      <c r="I151" s="34"/>
      <c r="J151" s="34"/>
      <c r="K151" s="34"/>
      <c r="L151" s="34"/>
      <c r="M151" s="34"/>
      <c r="N151" s="34"/>
      <c r="O151" s="34"/>
      <c r="P151" s="58"/>
      <c r="Q151" s="34"/>
      <c r="R151" s="34"/>
      <c r="S151" s="34"/>
      <c r="T151" s="34"/>
      <c r="U151" s="34"/>
      <c r="V151" s="34"/>
      <c r="W151" s="34"/>
      <c r="X151" s="34"/>
      <c r="Y151" s="34"/>
      <c r="Z151" s="42"/>
      <c r="AA151" s="10"/>
    </row>
    <row r="152" spans="1:27" ht="52.5" customHeight="1" x14ac:dyDescent="0.3">
      <c r="A152" s="63" t="s">
        <v>191</v>
      </c>
      <c r="B152" s="76" t="s">
        <v>213</v>
      </c>
      <c r="C152" s="76"/>
      <c r="D152" s="77"/>
      <c r="E152" s="38"/>
      <c r="F152" s="34"/>
      <c r="G152" s="34"/>
      <c r="H152" s="34"/>
      <c r="I152" s="34"/>
      <c r="J152" s="34"/>
      <c r="K152" s="34"/>
      <c r="L152" s="34"/>
      <c r="M152" s="34"/>
      <c r="N152" s="34"/>
      <c r="O152" s="34"/>
      <c r="P152" s="58"/>
      <c r="Q152" s="34"/>
      <c r="R152" s="34"/>
      <c r="S152" s="34"/>
      <c r="T152" s="34"/>
      <c r="U152" s="34"/>
      <c r="V152" s="34"/>
      <c r="W152" s="34"/>
      <c r="X152" s="34"/>
      <c r="Y152" s="34"/>
      <c r="Z152" s="44"/>
      <c r="AA152" s="10"/>
    </row>
    <row r="153" spans="1:27" ht="32.25" customHeight="1" x14ac:dyDescent="0.3">
      <c r="A153" s="63" t="s">
        <v>192</v>
      </c>
      <c r="B153" s="76" t="s">
        <v>214</v>
      </c>
      <c r="C153" s="76"/>
      <c r="D153" s="77"/>
      <c r="E153" s="38"/>
      <c r="F153" s="34"/>
      <c r="G153" s="34"/>
      <c r="H153" s="34"/>
      <c r="I153" s="34"/>
      <c r="J153" s="34"/>
      <c r="K153" s="34"/>
      <c r="L153" s="34"/>
      <c r="M153" s="34"/>
      <c r="N153" s="34"/>
      <c r="O153" s="34"/>
      <c r="P153" s="58"/>
      <c r="Q153" s="34"/>
      <c r="R153" s="34"/>
      <c r="S153" s="41"/>
      <c r="T153" s="41"/>
      <c r="U153" s="41"/>
      <c r="V153" s="41"/>
      <c r="W153" s="41"/>
      <c r="X153" s="41"/>
      <c r="Y153" s="41"/>
      <c r="Z153" s="44"/>
      <c r="AA153" s="10"/>
    </row>
    <row r="154" spans="1:27" ht="84" customHeight="1" x14ac:dyDescent="0.3">
      <c r="A154" s="63" t="s">
        <v>193</v>
      </c>
      <c r="B154" s="76" t="s">
        <v>215</v>
      </c>
      <c r="C154" s="76"/>
      <c r="D154" s="77"/>
      <c r="E154" s="38"/>
      <c r="F154" s="34"/>
      <c r="G154" s="34"/>
      <c r="H154" s="34"/>
      <c r="I154" s="34"/>
      <c r="J154" s="34"/>
      <c r="K154" s="34"/>
      <c r="L154" s="34"/>
      <c r="M154" s="34"/>
      <c r="N154" s="34"/>
      <c r="O154" s="34"/>
      <c r="P154" s="34"/>
      <c r="Q154" s="58"/>
      <c r="R154" s="34"/>
      <c r="S154" s="34"/>
      <c r="T154" s="34"/>
      <c r="U154" s="34"/>
      <c r="V154" s="34"/>
      <c r="W154" s="34"/>
      <c r="X154" s="34"/>
      <c r="Y154" s="34"/>
      <c r="Z154" s="44"/>
      <c r="AA154" s="10"/>
    </row>
    <row r="155" spans="1:27" ht="75" customHeight="1" x14ac:dyDescent="0.3">
      <c r="A155" s="63" t="s">
        <v>194</v>
      </c>
      <c r="B155" s="76" t="s">
        <v>216</v>
      </c>
      <c r="C155" s="76"/>
      <c r="D155" s="77"/>
      <c r="E155" s="38"/>
      <c r="F155" s="34"/>
      <c r="G155" s="34"/>
      <c r="H155" s="34"/>
      <c r="I155" s="34"/>
      <c r="J155" s="34"/>
      <c r="K155" s="34"/>
      <c r="L155" s="34"/>
      <c r="M155" s="34"/>
      <c r="N155" s="34"/>
      <c r="O155" s="34"/>
      <c r="P155" s="34"/>
      <c r="Q155" s="58"/>
      <c r="R155" s="34"/>
      <c r="S155" s="34"/>
      <c r="T155" s="34"/>
      <c r="U155" s="34"/>
      <c r="V155" s="34"/>
      <c r="W155" s="34"/>
      <c r="X155" s="34"/>
      <c r="Y155" s="34"/>
      <c r="Z155" s="44"/>
      <c r="AA155" s="10"/>
    </row>
    <row r="156" spans="1:27" ht="32.25" customHeight="1" x14ac:dyDescent="0.3">
      <c r="A156" s="63" t="s">
        <v>195</v>
      </c>
      <c r="B156" s="76" t="s">
        <v>217</v>
      </c>
      <c r="C156" s="76"/>
      <c r="D156" s="77"/>
      <c r="E156" s="38"/>
      <c r="F156" s="34"/>
      <c r="G156" s="34"/>
      <c r="H156" s="34"/>
      <c r="I156" s="34"/>
      <c r="J156" s="34"/>
      <c r="K156" s="34"/>
      <c r="L156" s="34"/>
      <c r="M156" s="34"/>
      <c r="N156" s="34"/>
      <c r="O156" s="34"/>
      <c r="Q156" s="58"/>
      <c r="R156" s="34"/>
      <c r="S156" s="34"/>
      <c r="T156" s="34"/>
      <c r="U156" s="34"/>
      <c r="V156" s="34"/>
      <c r="W156" s="34"/>
      <c r="X156" s="34"/>
      <c r="Y156" s="34"/>
      <c r="Z156" s="42"/>
      <c r="AA156" s="10"/>
    </row>
    <row r="157" spans="1:27" ht="85.05" customHeight="1" x14ac:dyDescent="0.3">
      <c r="A157" s="63" t="s">
        <v>196</v>
      </c>
      <c r="B157" s="76" t="s">
        <v>218</v>
      </c>
      <c r="C157" s="76"/>
      <c r="D157" s="77"/>
      <c r="E157" s="38"/>
      <c r="F157" s="34"/>
      <c r="G157" s="34"/>
      <c r="H157" s="34"/>
      <c r="I157" s="34"/>
      <c r="J157" s="34"/>
      <c r="K157" s="34"/>
      <c r="L157" s="34"/>
      <c r="M157" s="34"/>
      <c r="N157" s="34"/>
      <c r="O157" s="34"/>
      <c r="P157" s="58"/>
      <c r="Q157" s="34"/>
      <c r="R157" s="34"/>
      <c r="S157" s="34"/>
      <c r="T157" s="34"/>
      <c r="U157" s="34"/>
      <c r="V157" s="34"/>
      <c r="W157" s="34"/>
      <c r="X157" s="34"/>
      <c r="Y157" s="34"/>
      <c r="Z157" s="44"/>
      <c r="AA157" s="10"/>
    </row>
    <row r="158" spans="1:27" ht="69" customHeight="1" x14ac:dyDescent="0.3">
      <c r="A158" s="63" t="s">
        <v>197</v>
      </c>
      <c r="B158" s="76" t="s">
        <v>219</v>
      </c>
      <c r="C158" s="76"/>
      <c r="D158" s="77"/>
      <c r="E158" s="38"/>
      <c r="F158" s="34"/>
      <c r="G158" s="34"/>
      <c r="H158" s="34"/>
      <c r="I158" s="34"/>
      <c r="J158" s="34"/>
      <c r="K158" s="34"/>
      <c r="L158" s="34"/>
      <c r="M158" s="34"/>
      <c r="N158" s="34"/>
      <c r="O158" s="34"/>
      <c r="P158" s="34"/>
      <c r="Q158" s="58"/>
      <c r="R158" s="34"/>
      <c r="S158" s="41"/>
      <c r="T158" s="41"/>
      <c r="U158" s="41"/>
      <c r="V158" s="41"/>
      <c r="W158" s="41"/>
      <c r="X158" s="41"/>
      <c r="Y158" s="41"/>
      <c r="Z158" s="44"/>
      <c r="AA158" s="10"/>
    </row>
    <row r="159" spans="1:27" ht="32.25" customHeight="1" x14ac:dyDescent="0.3">
      <c r="A159" s="63" t="s">
        <v>198</v>
      </c>
      <c r="B159" s="76" t="s">
        <v>231</v>
      </c>
      <c r="C159" s="76"/>
      <c r="D159" s="77"/>
      <c r="E159" s="38"/>
      <c r="F159" s="34"/>
      <c r="G159" s="34"/>
      <c r="H159" s="34"/>
      <c r="I159" s="34"/>
      <c r="J159" s="34"/>
      <c r="K159" s="34"/>
      <c r="L159" s="34"/>
      <c r="M159" s="34"/>
      <c r="N159" s="34"/>
      <c r="O159" s="34"/>
      <c r="P159" s="34"/>
      <c r="Q159" s="58"/>
      <c r="R159" s="34"/>
      <c r="S159" s="34"/>
      <c r="T159" s="34"/>
      <c r="U159" s="34"/>
      <c r="V159" s="34"/>
      <c r="W159" s="34"/>
      <c r="X159" s="34"/>
      <c r="Y159" s="34"/>
      <c r="Z159" s="44"/>
      <c r="AA159" s="10"/>
    </row>
    <row r="160" spans="1:27" ht="67.05" customHeight="1" x14ac:dyDescent="0.3">
      <c r="A160" s="63" t="s">
        <v>199</v>
      </c>
      <c r="B160" s="76" t="s">
        <v>232</v>
      </c>
      <c r="C160" s="76"/>
      <c r="D160" s="77"/>
      <c r="E160" s="38"/>
      <c r="F160" s="34"/>
      <c r="G160" s="34"/>
      <c r="H160" s="34"/>
      <c r="I160" s="34"/>
      <c r="J160" s="34"/>
      <c r="K160" s="34"/>
      <c r="L160" s="34"/>
      <c r="M160" s="34"/>
      <c r="N160" s="34"/>
      <c r="O160" s="34"/>
      <c r="P160" s="58"/>
      <c r="Q160" s="58"/>
      <c r="R160" s="34"/>
      <c r="S160" s="34"/>
      <c r="T160" s="34"/>
      <c r="U160" s="34"/>
      <c r="V160" s="34"/>
      <c r="W160" s="34"/>
      <c r="X160" s="34"/>
      <c r="Y160" s="34"/>
      <c r="Z160" s="44"/>
      <c r="AA160" s="10"/>
    </row>
    <row r="161" spans="1:27" ht="32.25" customHeight="1" x14ac:dyDescent="0.3">
      <c r="A161" s="63" t="s">
        <v>200</v>
      </c>
      <c r="B161" s="76" t="s">
        <v>233</v>
      </c>
      <c r="C161" s="76"/>
      <c r="D161" s="77"/>
      <c r="E161" s="38"/>
      <c r="F161" s="34"/>
      <c r="G161" s="34"/>
      <c r="H161" s="34"/>
      <c r="I161" s="34"/>
      <c r="J161" s="34"/>
      <c r="K161" s="34"/>
      <c r="L161" s="34"/>
      <c r="M161" s="34"/>
      <c r="N161" s="34"/>
      <c r="O161" s="34"/>
      <c r="P161" s="58"/>
      <c r="Q161" s="58"/>
      <c r="R161" s="34"/>
      <c r="S161" s="34"/>
      <c r="T161" s="34"/>
      <c r="U161" s="34"/>
      <c r="V161" s="34"/>
      <c r="W161" s="34"/>
      <c r="X161" s="34"/>
      <c r="Y161" s="34"/>
      <c r="Z161" s="42"/>
      <c r="AA161" s="10"/>
    </row>
    <row r="162" spans="1:27" ht="54" customHeight="1" x14ac:dyDescent="0.3">
      <c r="A162" s="63" t="s">
        <v>201</v>
      </c>
      <c r="B162" s="76" t="s">
        <v>234</v>
      </c>
      <c r="C162" s="76"/>
      <c r="D162" s="77"/>
      <c r="E162" s="38"/>
      <c r="F162" s="34"/>
      <c r="G162" s="34"/>
      <c r="H162" s="34"/>
      <c r="I162" s="34"/>
      <c r="J162" s="34"/>
      <c r="K162" s="34"/>
      <c r="L162" s="34"/>
      <c r="M162" s="34"/>
      <c r="N162" s="34"/>
      <c r="O162" s="34"/>
      <c r="P162" s="58"/>
      <c r="Q162" s="34"/>
      <c r="R162" s="34"/>
      <c r="S162" s="41"/>
      <c r="T162" s="41"/>
      <c r="U162" s="41"/>
      <c r="V162" s="41"/>
      <c r="W162" s="41"/>
      <c r="X162" s="41"/>
      <c r="Y162" s="41"/>
      <c r="Z162" s="44"/>
      <c r="AA162" s="10"/>
    </row>
    <row r="163" spans="1:27" ht="32.25" customHeight="1" x14ac:dyDescent="0.3">
      <c r="A163" s="63" t="s">
        <v>202</v>
      </c>
      <c r="B163" s="76" t="s">
        <v>235</v>
      </c>
      <c r="C163" s="76"/>
      <c r="D163" s="77"/>
      <c r="E163" s="38"/>
      <c r="F163" s="34"/>
      <c r="G163" s="34"/>
      <c r="H163" s="34"/>
      <c r="I163" s="34"/>
      <c r="J163" s="34"/>
      <c r="K163" s="34"/>
      <c r="L163" s="34"/>
      <c r="M163" s="34"/>
      <c r="N163" s="34"/>
      <c r="O163" s="34"/>
      <c r="P163" s="58"/>
      <c r="Q163" s="34"/>
      <c r="R163" s="34"/>
      <c r="S163" s="34"/>
      <c r="T163" s="34"/>
      <c r="U163" s="34"/>
      <c r="V163" s="34"/>
      <c r="W163" s="34"/>
      <c r="X163" s="34"/>
      <c r="Y163" s="34"/>
      <c r="Z163" s="44"/>
      <c r="AA163" s="10"/>
    </row>
    <row r="164" spans="1:27" ht="66" customHeight="1" x14ac:dyDescent="0.3">
      <c r="A164" s="63" t="s">
        <v>220</v>
      </c>
      <c r="B164" s="76" t="s">
        <v>236</v>
      </c>
      <c r="C164" s="76"/>
      <c r="D164" s="77"/>
      <c r="E164" s="38"/>
      <c r="F164" s="34"/>
      <c r="G164" s="34"/>
      <c r="H164" s="34"/>
      <c r="I164" s="34"/>
      <c r="J164" s="34"/>
      <c r="K164" s="34"/>
      <c r="L164" s="34"/>
      <c r="M164" s="34"/>
      <c r="N164" s="34"/>
      <c r="O164" s="34"/>
      <c r="P164" s="58"/>
      <c r="Q164" s="34"/>
      <c r="R164" s="34"/>
      <c r="S164" s="34"/>
      <c r="T164" s="34"/>
      <c r="U164" s="34"/>
      <c r="V164" s="34"/>
      <c r="W164" s="34"/>
      <c r="X164" s="34"/>
      <c r="Y164" s="34"/>
      <c r="Z164" s="44"/>
      <c r="AA164" s="10"/>
    </row>
    <row r="165" spans="1:27" ht="40.950000000000003" customHeight="1" x14ac:dyDescent="0.3">
      <c r="A165" s="63" t="s">
        <v>221</v>
      </c>
      <c r="B165" s="76" t="s">
        <v>237</v>
      </c>
      <c r="C165" s="76"/>
      <c r="D165" s="77"/>
      <c r="E165" s="38"/>
      <c r="F165" s="34"/>
      <c r="G165" s="34"/>
      <c r="H165" s="34"/>
      <c r="I165" s="34"/>
      <c r="J165" s="34"/>
      <c r="K165" s="34"/>
      <c r="L165" s="34"/>
      <c r="M165" s="34"/>
      <c r="N165" s="34"/>
      <c r="O165" s="34"/>
      <c r="P165" s="58"/>
      <c r="Q165" s="34"/>
      <c r="R165" s="34"/>
      <c r="S165" s="34"/>
      <c r="T165" s="34"/>
      <c r="U165" s="34"/>
      <c r="V165" s="34"/>
      <c r="W165" s="34"/>
      <c r="X165" s="34"/>
      <c r="Y165" s="34"/>
      <c r="Z165" s="42"/>
      <c r="AA165" s="10"/>
    </row>
    <row r="166" spans="1:27" ht="32.25" customHeight="1" x14ac:dyDescent="0.3">
      <c r="A166" s="63" t="s">
        <v>222</v>
      </c>
      <c r="B166" s="76" t="s">
        <v>238</v>
      </c>
      <c r="C166" s="76"/>
      <c r="D166" s="77"/>
      <c r="E166" s="38"/>
      <c r="F166" s="34"/>
      <c r="G166" s="34"/>
      <c r="H166" s="34"/>
      <c r="I166" s="34"/>
      <c r="J166" s="34"/>
      <c r="K166" s="34"/>
      <c r="L166" s="34"/>
      <c r="M166" s="34"/>
      <c r="N166" s="34"/>
      <c r="O166" s="34"/>
      <c r="P166" s="58"/>
      <c r="Q166" s="34"/>
      <c r="R166" s="34"/>
      <c r="S166" s="34"/>
      <c r="T166" s="34"/>
      <c r="U166" s="34"/>
      <c r="V166" s="34"/>
      <c r="W166" s="34"/>
      <c r="X166" s="34"/>
      <c r="Y166" s="34"/>
      <c r="Z166" s="44"/>
      <c r="AA166" s="10"/>
    </row>
    <row r="167" spans="1:27" ht="67.95" customHeight="1" x14ac:dyDescent="0.3">
      <c r="A167" s="63" t="s">
        <v>223</v>
      </c>
      <c r="B167" s="76" t="s">
        <v>239</v>
      </c>
      <c r="C167" s="76"/>
      <c r="D167" s="77"/>
      <c r="E167" s="38"/>
      <c r="F167" s="34"/>
      <c r="G167" s="34"/>
      <c r="H167" s="34"/>
      <c r="I167" s="34"/>
      <c r="J167" s="34"/>
      <c r="K167" s="34"/>
      <c r="L167" s="34"/>
      <c r="M167" s="34"/>
      <c r="N167" s="34"/>
      <c r="O167" s="34"/>
      <c r="P167" s="58"/>
      <c r="Q167" s="34"/>
      <c r="R167" s="34"/>
      <c r="S167" s="41"/>
      <c r="T167" s="41"/>
      <c r="U167" s="41"/>
      <c r="V167" s="41"/>
      <c r="W167" s="41"/>
      <c r="X167" s="41"/>
      <c r="Y167" s="41"/>
      <c r="Z167" s="44"/>
      <c r="AA167" s="10"/>
    </row>
    <row r="168" spans="1:27" ht="32.25" customHeight="1" x14ac:dyDescent="0.3">
      <c r="A168" s="63" t="s">
        <v>224</v>
      </c>
      <c r="B168" s="76" t="s">
        <v>240</v>
      </c>
      <c r="C168" s="76"/>
      <c r="D168" s="77"/>
      <c r="E168" s="38"/>
      <c r="F168" s="34"/>
      <c r="G168" s="34"/>
      <c r="H168" s="34"/>
      <c r="I168" s="34"/>
      <c r="J168" s="34"/>
      <c r="K168" s="34"/>
      <c r="L168" s="34"/>
      <c r="M168" s="34"/>
      <c r="N168" s="34"/>
      <c r="O168" s="34"/>
      <c r="P168" s="58"/>
      <c r="Q168" s="34"/>
      <c r="R168" s="34"/>
      <c r="S168" s="34"/>
      <c r="T168" s="34"/>
      <c r="U168" s="34"/>
      <c r="V168" s="34"/>
      <c r="W168" s="34"/>
      <c r="X168" s="34"/>
      <c r="Y168" s="34"/>
      <c r="Z168" s="44"/>
      <c r="AA168" s="10"/>
    </row>
    <row r="169" spans="1:27" ht="32.25" customHeight="1" x14ac:dyDescent="0.3">
      <c r="A169" s="63" t="s">
        <v>225</v>
      </c>
      <c r="B169" s="76" t="s">
        <v>240</v>
      </c>
      <c r="C169" s="76"/>
      <c r="D169" s="77"/>
      <c r="E169" s="38"/>
      <c r="F169" s="34"/>
      <c r="G169" s="34"/>
      <c r="H169" s="34"/>
      <c r="I169" s="34"/>
      <c r="J169" s="34"/>
      <c r="K169" s="34"/>
      <c r="L169" s="34"/>
      <c r="M169" s="34"/>
      <c r="N169" s="34"/>
      <c r="O169" s="34"/>
      <c r="P169" s="58"/>
      <c r="Q169" s="34"/>
      <c r="R169" s="34"/>
      <c r="S169" s="34"/>
      <c r="T169" s="34"/>
      <c r="U169" s="34"/>
      <c r="V169" s="34"/>
      <c r="W169" s="34"/>
      <c r="X169" s="34"/>
      <c r="Y169" s="34"/>
      <c r="Z169" s="44"/>
      <c r="AA169" s="10"/>
    </row>
    <row r="170" spans="1:27" ht="32.25" customHeight="1" x14ac:dyDescent="0.3">
      <c r="A170" s="63" t="s">
        <v>226</v>
      </c>
      <c r="B170" s="76" t="s">
        <v>241</v>
      </c>
      <c r="C170" s="76"/>
      <c r="D170" s="77"/>
      <c r="E170" s="38"/>
      <c r="F170" s="34"/>
      <c r="G170" s="34"/>
      <c r="H170" s="34"/>
      <c r="I170" s="34"/>
      <c r="J170" s="34"/>
      <c r="K170" s="34"/>
      <c r="L170" s="34"/>
      <c r="M170" s="34"/>
      <c r="N170" s="34"/>
      <c r="O170" s="34"/>
      <c r="P170" s="58"/>
      <c r="Q170" s="34"/>
      <c r="R170" s="34"/>
      <c r="S170" s="34"/>
      <c r="T170" s="34"/>
      <c r="U170" s="34"/>
      <c r="V170" s="34"/>
      <c r="W170" s="34"/>
      <c r="X170" s="34"/>
      <c r="Y170" s="34"/>
      <c r="Z170" s="42"/>
      <c r="AA170" s="10"/>
    </row>
    <row r="171" spans="1:27" ht="32.25" customHeight="1" x14ac:dyDescent="0.3">
      <c r="A171" s="63" t="s">
        <v>227</v>
      </c>
      <c r="B171" s="76" t="s">
        <v>242</v>
      </c>
      <c r="C171" s="76"/>
      <c r="D171" s="77"/>
      <c r="E171" s="38"/>
      <c r="F171" s="34"/>
      <c r="G171" s="34"/>
      <c r="H171" s="34"/>
      <c r="I171" s="34"/>
      <c r="J171" s="34"/>
      <c r="K171" s="34"/>
      <c r="L171" s="34"/>
      <c r="M171" s="34"/>
      <c r="N171" s="34"/>
      <c r="O171" s="34"/>
      <c r="P171" s="58"/>
      <c r="Q171" s="34"/>
      <c r="R171" s="34"/>
      <c r="S171" s="34"/>
      <c r="T171" s="34"/>
      <c r="U171" s="34"/>
      <c r="V171" s="34"/>
      <c r="W171" s="34"/>
      <c r="X171" s="34"/>
      <c r="Y171" s="34"/>
      <c r="Z171" s="44"/>
      <c r="AA171" s="10"/>
    </row>
    <row r="172" spans="1:27" ht="32.25" customHeight="1" x14ac:dyDescent="0.3">
      <c r="A172" s="63" t="s">
        <v>228</v>
      </c>
      <c r="B172" s="76" t="s">
        <v>253</v>
      </c>
      <c r="C172" s="76"/>
      <c r="D172" s="77"/>
      <c r="E172" s="38"/>
      <c r="F172" s="34"/>
      <c r="G172" s="34"/>
      <c r="H172" s="34"/>
      <c r="I172" s="34"/>
      <c r="J172" s="34"/>
      <c r="K172" s="34"/>
      <c r="L172" s="34"/>
      <c r="M172" s="34"/>
      <c r="N172" s="34"/>
      <c r="O172" s="34"/>
      <c r="P172" s="58"/>
      <c r="Q172" s="34"/>
      <c r="R172" s="34"/>
      <c r="S172" s="41"/>
      <c r="T172" s="41"/>
      <c r="U172" s="41"/>
      <c r="V172" s="41"/>
      <c r="W172" s="41"/>
      <c r="X172" s="41"/>
      <c r="Y172" s="41"/>
      <c r="Z172" s="44"/>
      <c r="AA172" s="10"/>
    </row>
    <row r="173" spans="1:27" ht="32.25" customHeight="1" x14ac:dyDescent="0.3">
      <c r="A173" s="63" t="s">
        <v>229</v>
      </c>
      <c r="B173" s="76" t="s">
        <v>240</v>
      </c>
      <c r="C173" s="76"/>
      <c r="D173" s="77"/>
      <c r="E173" s="38"/>
      <c r="F173" s="34"/>
      <c r="G173" s="34"/>
      <c r="H173" s="34"/>
      <c r="I173" s="34"/>
      <c r="J173" s="34"/>
      <c r="K173" s="34"/>
      <c r="L173" s="34"/>
      <c r="M173" s="34"/>
      <c r="N173" s="34"/>
      <c r="O173" s="34"/>
      <c r="P173" s="58"/>
      <c r="Q173" s="34"/>
      <c r="R173" s="34"/>
      <c r="S173" s="34"/>
      <c r="T173" s="34"/>
      <c r="U173" s="34"/>
      <c r="V173" s="34"/>
      <c r="W173" s="34"/>
      <c r="X173" s="34"/>
      <c r="Y173" s="34"/>
      <c r="Z173" s="44"/>
      <c r="AA173" s="10"/>
    </row>
    <row r="174" spans="1:27" ht="32.25" customHeight="1" x14ac:dyDescent="0.3">
      <c r="A174" s="63" t="s">
        <v>230</v>
      </c>
      <c r="B174" s="76" t="s">
        <v>240</v>
      </c>
      <c r="C174" s="76"/>
      <c r="D174" s="77"/>
      <c r="E174" s="38"/>
      <c r="F174" s="34"/>
      <c r="G174" s="34"/>
      <c r="H174" s="34"/>
      <c r="I174" s="34"/>
      <c r="J174" s="34"/>
      <c r="K174" s="34"/>
      <c r="L174" s="34"/>
      <c r="M174" s="34"/>
      <c r="N174" s="34"/>
      <c r="O174" s="34"/>
      <c r="P174" s="58"/>
      <c r="Q174" s="34"/>
      <c r="R174" s="34"/>
      <c r="S174" s="34"/>
      <c r="T174" s="34"/>
      <c r="U174" s="34"/>
      <c r="V174" s="34"/>
      <c r="W174" s="34"/>
      <c r="X174" s="34"/>
      <c r="Y174" s="34"/>
      <c r="Z174" s="44"/>
      <c r="AA174" s="10"/>
    </row>
    <row r="175" spans="1:27" ht="32.25" customHeight="1" x14ac:dyDescent="0.3">
      <c r="A175" s="63" t="s">
        <v>243</v>
      </c>
      <c r="B175" s="76" t="s">
        <v>240</v>
      </c>
      <c r="C175" s="76"/>
      <c r="D175" s="77"/>
      <c r="E175" s="38"/>
      <c r="F175" s="34"/>
      <c r="G175" s="34"/>
      <c r="H175" s="34"/>
      <c r="I175" s="34"/>
      <c r="J175" s="34"/>
      <c r="K175" s="34"/>
      <c r="L175" s="34"/>
      <c r="M175" s="34"/>
      <c r="N175" s="34"/>
      <c r="O175" s="34"/>
      <c r="P175" s="58"/>
      <c r="Q175" s="34"/>
      <c r="R175" s="34"/>
      <c r="S175" s="34"/>
      <c r="T175" s="34"/>
      <c r="U175" s="34"/>
      <c r="V175" s="34"/>
      <c r="W175" s="34"/>
      <c r="X175" s="34"/>
      <c r="Y175" s="34"/>
      <c r="Z175" s="42"/>
      <c r="AA175" s="10"/>
    </row>
    <row r="176" spans="1:27" ht="76.05" customHeight="1" x14ac:dyDescent="0.3">
      <c r="A176" s="63" t="s">
        <v>244</v>
      </c>
      <c r="B176" s="76" t="s">
        <v>254</v>
      </c>
      <c r="C176" s="76"/>
      <c r="D176" s="77"/>
      <c r="E176" s="38"/>
      <c r="F176" s="34"/>
      <c r="G176" s="34"/>
      <c r="H176" s="34"/>
      <c r="I176" s="34"/>
      <c r="J176" s="34"/>
      <c r="K176" s="34"/>
      <c r="L176" s="34"/>
      <c r="M176" s="34"/>
      <c r="N176" s="34"/>
      <c r="O176" s="34"/>
      <c r="P176" s="34"/>
      <c r="Q176" s="58"/>
      <c r="R176" s="34"/>
      <c r="S176" s="34"/>
      <c r="T176" s="34"/>
      <c r="U176" s="34"/>
      <c r="V176" s="34"/>
      <c r="W176" s="34"/>
      <c r="X176" s="34"/>
      <c r="Y176" s="34"/>
      <c r="Z176" s="44"/>
      <c r="AA176" s="10"/>
    </row>
    <row r="177" spans="1:27" ht="82.05" customHeight="1" x14ac:dyDescent="0.3">
      <c r="A177" s="63" t="s">
        <v>245</v>
      </c>
      <c r="B177" s="76" t="s">
        <v>255</v>
      </c>
      <c r="C177" s="76"/>
      <c r="D177" s="77"/>
      <c r="E177" s="38"/>
      <c r="F177" s="34"/>
      <c r="G177" s="34"/>
      <c r="H177" s="34"/>
      <c r="I177" s="34"/>
      <c r="J177" s="34"/>
      <c r="K177" s="34"/>
      <c r="L177" s="34"/>
      <c r="M177" s="34"/>
      <c r="N177" s="34"/>
      <c r="O177" s="34"/>
      <c r="P177" s="34"/>
      <c r="Q177" s="58"/>
      <c r="R177" s="34"/>
      <c r="S177" s="41"/>
      <c r="T177" s="41"/>
      <c r="U177" s="41"/>
      <c r="V177" s="41"/>
      <c r="W177" s="41"/>
      <c r="X177" s="41"/>
      <c r="Y177" s="41"/>
      <c r="Z177" s="44"/>
      <c r="AA177" s="10"/>
    </row>
    <row r="178" spans="1:27" ht="76.05" customHeight="1" x14ac:dyDescent="0.3">
      <c r="A178" s="63" t="s">
        <v>246</v>
      </c>
      <c r="B178" s="76" t="s">
        <v>256</v>
      </c>
      <c r="C178" s="76"/>
      <c r="D178" s="77"/>
      <c r="E178" s="38"/>
      <c r="F178" s="34"/>
      <c r="G178" s="34"/>
      <c r="H178" s="34"/>
      <c r="I178" s="34"/>
      <c r="J178" s="34"/>
      <c r="K178" s="34"/>
      <c r="L178" s="34"/>
      <c r="M178" s="34"/>
      <c r="N178" s="34"/>
      <c r="O178" s="34"/>
      <c r="P178" s="34"/>
      <c r="Q178" s="58"/>
      <c r="R178" s="34"/>
      <c r="S178" s="34"/>
      <c r="T178" s="34"/>
      <c r="U178" s="34"/>
      <c r="V178" s="34"/>
      <c r="W178" s="34"/>
      <c r="X178" s="34"/>
      <c r="Y178" s="34"/>
      <c r="Z178" s="44"/>
      <c r="AA178" s="10"/>
    </row>
    <row r="179" spans="1:27" ht="32.25" customHeight="1" x14ac:dyDescent="0.3">
      <c r="A179" s="63" t="s">
        <v>247</v>
      </c>
      <c r="B179" s="76" t="s">
        <v>257</v>
      </c>
      <c r="C179" s="76"/>
      <c r="D179" s="77"/>
      <c r="E179" s="38"/>
      <c r="F179" s="34"/>
      <c r="G179" s="34"/>
      <c r="H179" s="34"/>
      <c r="I179" s="34"/>
      <c r="J179" s="34"/>
      <c r="K179" s="34"/>
      <c r="L179" s="34"/>
      <c r="M179" s="34"/>
      <c r="N179" s="34"/>
      <c r="O179" s="34"/>
      <c r="P179" s="34"/>
      <c r="Q179" s="58"/>
      <c r="R179" s="34"/>
      <c r="S179" s="34"/>
      <c r="T179" s="34"/>
      <c r="U179" s="34"/>
      <c r="V179" s="34"/>
      <c r="W179" s="34"/>
      <c r="X179" s="34"/>
      <c r="Y179" s="34"/>
      <c r="Z179" s="44"/>
      <c r="AA179" s="10"/>
    </row>
    <row r="180" spans="1:27" ht="32.25" customHeight="1" x14ac:dyDescent="0.3">
      <c r="A180" s="63" t="s">
        <v>248</v>
      </c>
      <c r="B180" s="76" t="s">
        <v>257</v>
      </c>
      <c r="C180" s="76"/>
      <c r="D180" s="77"/>
      <c r="E180" s="38"/>
      <c r="F180" s="34"/>
      <c r="G180" s="34"/>
      <c r="H180" s="34"/>
      <c r="I180" s="34"/>
      <c r="J180" s="34"/>
      <c r="K180" s="34"/>
      <c r="L180" s="34"/>
      <c r="M180" s="34"/>
      <c r="N180" s="34"/>
      <c r="O180" s="34"/>
      <c r="P180" s="34"/>
      <c r="Q180" s="58"/>
      <c r="R180" s="34"/>
      <c r="S180" s="34"/>
      <c r="T180" s="34"/>
      <c r="U180" s="34"/>
      <c r="V180" s="34"/>
      <c r="W180" s="34"/>
      <c r="X180" s="34"/>
      <c r="Y180" s="34"/>
      <c r="Z180" s="42"/>
      <c r="AA180" s="10"/>
    </row>
    <row r="181" spans="1:27" ht="109.05" customHeight="1" x14ac:dyDescent="0.3">
      <c r="A181" s="63" t="s">
        <v>249</v>
      </c>
      <c r="B181" s="76" t="s">
        <v>258</v>
      </c>
      <c r="C181" s="76"/>
      <c r="D181" s="77"/>
      <c r="E181" s="38"/>
      <c r="F181" s="34"/>
      <c r="G181" s="34"/>
      <c r="H181" s="34"/>
      <c r="I181" s="34"/>
      <c r="J181" s="34"/>
      <c r="K181" s="34"/>
      <c r="L181" s="34"/>
      <c r="M181" s="34"/>
      <c r="N181" s="34"/>
      <c r="O181" s="34"/>
      <c r="P181" s="58"/>
      <c r="Q181" s="34"/>
      <c r="R181" s="34"/>
      <c r="S181" s="41"/>
      <c r="T181" s="41"/>
      <c r="U181" s="41"/>
      <c r="V181" s="41"/>
      <c r="W181" s="41"/>
      <c r="X181" s="41"/>
      <c r="Y181" s="41"/>
      <c r="Z181" s="44"/>
      <c r="AA181" s="10"/>
    </row>
    <row r="182" spans="1:27" ht="32.25" customHeight="1" x14ac:dyDescent="0.3">
      <c r="A182" s="63" t="s">
        <v>250</v>
      </c>
      <c r="B182" s="76" t="s">
        <v>271</v>
      </c>
      <c r="C182" s="76"/>
      <c r="D182" s="77"/>
      <c r="E182" s="38"/>
      <c r="F182" s="34"/>
      <c r="G182" s="34"/>
      <c r="H182" s="34"/>
      <c r="I182" s="34"/>
      <c r="J182" s="34"/>
      <c r="K182" s="34"/>
      <c r="L182" s="34"/>
      <c r="M182" s="34"/>
      <c r="N182" s="34"/>
      <c r="O182" s="34"/>
      <c r="P182" s="58"/>
      <c r="Q182" s="34"/>
      <c r="R182" s="34"/>
      <c r="S182" s="34"/>
      <c r="T182" s="34"/>
      <c r="U182" s="34"/>
      <c r="V182" s="34"/>
      <c r="W182" s="34"/>
      <c r="X182" s="34"/>
      <c r="Y182" s="34"/>
      <c r="Z182" s="44"/>
      <c r="AA182" s="10"/>
    </row>
    <row r="183" spans="1:27" ht="60" customHeight="1" x14ac:dyDescent="0.3">
      <c r="A183" s="63" t="s">
        <v>251</v>
      </c>
      <c r="B183" s="76" t="s">
        <v>272</v>
      </c>
      <c r="C183" s="76"/>
      <c r="D183" s="77"/>
      <c r="E183" s="38"/>
      <c r="F183" s="34"/>
      <c r="G183" s="34"/>
      <c r="H183" s="34"/>
      <c r="I183" s="34"/>
      <c r="J183" s="34"/>
      <c r="K183" s="34"/>
      <c r="L183" s="34"/>
      <c r="M183" s="34"/>
      <c r="N183" s="34"/>
      <c r="O183" s="34"/>
      <c r="P183" s="34"/>
      <c r="Q183" s="58"/>
      <c r="R183" s="34"/>
      <c r="S183" s="34"/>
      <c r="T183" s="34"/>
      <c r="U183" s="34"/>
      <c r="V183" s="34"/>
      <c r="W183" s="34"/>
      <c r="X183" s="34"/>
      <c r="Y183" s="34"/>
      <c r="Z183" s="44"/>
      <c r="AA183" s="10"/>
    </row>
    <row r="184" spans="1:27" ht="32.25" customHeight="1" x14ac:dyDescent="0.3">
      <c r="A184" s="63" t="s">
        <v>252</v>
      </c>
      <c r="B184" s="76" t="s">
        <v>273</v>
      </c>
      <c r="C184" s="76"/>
      <c r="D184" s="77"/>
      <c r="E184" s="38"/>
      <c r="F184" s="34"/>
      <c r="G184" s="34"/>
      <c r="H184" s="34"/>
      <c r="I184" s="34"/>
      <c r="J184" s="34"/>
      <c r="K184" s="34"/>
      <c r="L184" s="34"/>
      <c r="M184" s="34"/>
      <c r="N184" s="34"/>
      <c r="O184" s="34"/>
      <c r="P184" s="34"/>
      <c r="Q184" s="58"/>
      <c r="R184" s="34"/>
      <c r="S184" s="34"/>
      <c r="T184" s="34"/>
      <c r="U184" s="34"/>
      <c r="V184" s="34"/>
      <c r="W184" s="34"/>
      <c r="X184" s="34"/>
      <c r="Y184" s="34"/>
      <c r="Z184" s="42"/>
      <c r="AA184" s="10"/>
    </row>
    <row r="185" spans="1:27" ht="32.25" customHeight="1" x14ac:dyDescent="0.3">
      <c r="A185" s="63" t="s">
        <v>259</v>
      </c>
      <c r="B185" s="76" t="s">
        <v>273</v>
      </c>
      <c r="C185" s="76"/>
      <c r="D185" s="77"/>
      <c r="E185" s="38"/>
      <c r="F185" s="34"/>
      <c r="G185" s="34"/>
      <c r="H185" s="34"/>
      <c r="I185" s="34"/>
      <c r="J185" s="34"/>
      <c r="K185" s="34"/>
      <c r="L185" s="34"/>
      <c r="M185" s="34"/>
      <c r="N185" s="34"/>
      <c r="O185" s="34"/>
      <c r="P185" s="34"/>
      <c r="Q185" s="58"/>
      <c r="R185" s="34"/>
      <c r="S185" s="34"/>
      <c r="T185" s="34"/>
      <c r="U185" s="34"/>
      <c r="V185" s="34"/>
      <c r="W185" s="34"/>
      <c r="X185" s="34"/>
      <c r="Y185" s="34"/>
      <c r="Z185" s="44"/>
      <c r="AA185" s="10"/>
    </row>
    <row r="186" spans="1:27" ht="32.25" customHeight="1" x14ac:dyDescent="0.3">
      <c r="A186" s="63" t="s">
        <v>260</v>
      </c>
      <c r="B186" s="76" t="s">
        <v>274</v>
      </c>
      <c r="C186" s="76"/>
      <c r="D186" s="77"/>
      <c r="E186" s="38"/>
      <c r="F186" s="34"/>
      <c r="G186" s="34"/>
      <c r="H186" s="34"/>
      <c r="I186" s="34"/>
      <c r="J186" s="34"/>
      <c r="K186" s="34"/>
      <c r="L186" s="34"/>
      <c r="M186" s="34"/>
      <c r="N186" s="34"/>
      <c r="O186" s="34"/>
      <c r="P186" s="34"/>
      <c r="Q186" s="58"/>
      <c r="R186" s="34"/>
      <c r="S186" s="41"/>
      <c r="T186" s="41"/>
      <c r="U186" s="41"/>
      <c r="V186" s="41"/>
      <c r="W186" s="41"/>
      <c r="X186" s="41"/>
      <c r="Y186" s="41"/>
      <c r="Z186" s="44"/>
      <c r="AA186" s="10"/>
    </row>
    <row r="187" spans="1:27" ht="32.25" customHeight="1" x14ac:dyDescent="0.3">
      <c r="A187" s="63" t="s">
        <v>261</v>
      </c>
      <c r="B187" s="76" t="s">
        <v>274</v>
      </c>
      <c r="C187" s="76"/>
      <c r="D187" s="77"/>
      <c r="E187" s="38"/>
      <c r="F187" s="34"/>
      <c r="G187" s="34"/>
      <c r="H187" s="34"/>
      <c r="I187" s="34"/>
      <c r="J187" s="34"/>
      <c r="K187" s="34"/>
      <c r="L187" s="34"/>
      <c r="M187" s="34"/>
      <c r="N187" s="34"/>
      <c r="O187" s="34"/>
      <c r="P187" s="34"/>
      <c r="Q187" s="58"/>
      <c r="R187" s="34"/>
      <c r="S187" s="34"/>
      <c r="T187" s="34"/>
      <c r="U187" s="34"/>
      <c r="V187" s="34"/>
      <c r="W187" s="34"/>
      <c r="X187" s="34"/>
      <c r="Y187" s="34"/>
      <c r="Z187" s="44"/>
      <c r="AA187" s="10"/>
    </row>
    <row r="188" spans="1:27" ht="32.25" customHeight="1" x14ac:dyDescent="0.3">
      <c r="A188" s="63" t="s">
        <v>262</v>
      </c>
      <c r="B188" s="76" t="s">
        <v>275</v>
      </c>
      <c r="C188" s="76"/>
      <c r="D188" s="77"/>
      <c r="E188" s="38"/>
      <c r="F188" s="34"/>
      <c r="G188" s="34"/>
      <c r="H188" s="34"/>
      <c r="I188" s="34"/>
      <c r="J188" s="34"/>
      <c r="K188" s="34"/>
      <c r="L188" s="34"/>
      <c r="M188" s="34"/>
      <c r="N188" s="34"/>
      <c r="O188" s="34"/>
      <c r="P188" s="34"/>
      <c r="Q188" s="58"/>
      <c r="R188" s="34"/>
      <c r="S188" s="34"/>
      <c r="T188" s="34"/>
      <c r="U188" s="34"/>
      <c r="V188" s="34"/>
      <c r="W188" s="34"/>
      <c r="X188" s="34"/>
      <c r="Y188" s="34"/>
      <c r="Z188" s="44"/>
      <c r="AA188" s="10"/>
    </row>
    <row r="189" spans="1:27" ht="32.25" customHeight="1" x14ac:dyDescent="0.3">
      <c r="A189" s="63" t="s">
        <v>263</v>
      </c>
      <c r="B189" s="76" t="s">
        <v>275</v>
      </c>
      <c r="C189" s="76"/>
      <c r="D189" s="77"/>
      <c r="E189" s="38"/>
      <c r="F189" s="34"/>
      <c r="G189" s="34"/>
      <c r="H189" s="34"/>
      <c r="I189" s="34"/>
      <c r="J189" s="34"/>
      <c r="K189" s="34"/>
      <c r="L189" s="34"/>
      <c r="M189" s="34"/>
      <c r="N189" s="34"/>
      <c r="O189" s="34"/>
      <c r="P189" s="34"/>
      <c r="Q189" s="58"/>
      <c r="R189" s="34"/>
      <c r="S189" s="34"/>
      <c r="T189" s="34"/>
      <c r="U189" s="34"/>
      <c r="V189" s="34"/>
      <c r="W189" s="34"/>
      <c r="X189" s="34"/>
      <c r="Y189" s="34"/>
      <c r="Z189" s="42"/>
      <c r="AA189" s="10"/>
    </row>
    <row r="190" spans="1:27" ht="32.25" customHeight="1" x14ac:dyDescent="0.3">
      <c r="A190" s="63" t="s">
        <v>264</v>
      </c>
      <c r="B190" s="76" t="s">
        <v>276</v>
      </c>
      <c r="C190" s="76"/>
      <c r="D190" s="77"/>
      <c r="E190" s="38"/>
      <c r="F190" s="34"/>
      <c r="G190" s="34"/>
      <c r="H190" s="34"/>
      <c r="I190" s="34"/>
      <c r="J190" s="34"/>
      <c r="K190" s="34"/>
      <c r="L190" s="34"/>
      <c r="M190" s="34"/>
      <c r="N190" s="34"/>
      <c r="O190" s="34"/>
      <c r="P190" s="34"/>
      <c r="Q190" s="58"/>
      <c r="R190" s="34"/>
      <c r="S190" s="34"/>
      <c r="T190" s="34"/>
      <c r="U190" s="34"/>
      <c r="V190" s="34"/>
      <c r="W190" s="34"/>
      <c r="X190" s="34"/>
      <c r="Y190" s="34"/>
      <c r="Z190" s="44"/>
      <c r="AA190" s="10"/>
    </row>
    <row r="191" spans="1:27" ht="234" customHeight="1" x14ac:dyDescent="0.3">
      <c r="A191" s="63" t="s">
        <v>265</v>
      </c>
      <c r="B191" s="76" t="s">
        <v>277</v>
      </c>
      <c r="C191" s="76"/>
      <c r="D191" s="77"/>
      <c r="E191" s="38"/>
      <c r="F191" s="34"/>
      <c r="G191" s="34"/>
      <c r="H191" s="34"/>
      <c r="I191" s="34"/>
      <c r="J191" s="34"/>
      <c r="K191" s="34"/>
      <c r="L191" s="34"/>
      <c r="M191" s="34"/>
      <c r="N191" s="34"/>
      <c r="O191" s="34"/>
      <c r="P191" s="34"/>
      <c r="Q191" s="58"/>
      <c r="R191" s="34"/>
      <c r="S191" s="41"/>
      <c r="T191" s="41"/>
      <c r="U191" s="41"/>
      <c r="V191" s="41"/>
      <c r="W191" s="41"/>
      <c r="X191" s="41"/>
      <c r="Y191" s="41"/>
      <c r="Z191" s="44"/>
      <c r="AA191" s="10"/>
    </row>
    <row r="192" spans="1:27" ht="32.25" customHeight="1" x14ac:dyDescent="0.3">
      <c r="A192" s="63" t="s">
        <v>266</v>
      </c>
      <c r="B192" s="76" t="s">
        <v>278</v>
      </c>
      <c r="C192" s="76"/>
      <c r="D192" s="77"/>
      <c r="E192" s="38"/>
      <c r="F192" s="34"/>
      <c r="G192" s="34"/>
      <c r="H192" s="34"/>
      <c r="I192" s="34"/>
      <c r="J192" s="34"/>
      <c r="K192" s="34"/>
      <c r="L192" s="34"/>
      <c r="M192" s="34"/>
      <c r="N192" s="34"/>
      <c r="O192" s="34"/>
      <c r="P192" s="34"/>
      <c r="Q192" s="58"/>
      <c r="R192" s="34"/>
      <c r="S192" s="34"/>
      <c r="T192" s="34"/>
      <c r="U192" s="34"/>
      <c r="V192" s="34"/>
      <c r="W192" s="34"/>
      <c r="X192" s="34"/>
      <c r="Y192" s="34"/>
      <c r="Z192" s="44"/>
      <c r="AA192" s="10"/>
    </row>
    <row r="193" spans="1:27" ht="32.25" customHeight="1" x14ac:dyDescent="0.3">
      <c r="A193" s="63" t="s">
        <v>267</v>
      </c>
      <c r="B193" s="76" t="s">
        <v>278</v>
      </c>
      <c r="C193" s="76"/>
      <c r="D193" s="77"/>
      <c r="E193" s="38"/>
      <c r="F193" s="34"/>
      <c r="G193" s="34"/>
      <c r="H193" s="34"/>
      <c r="I193" s="34"/>
      <c r="J193" s="34"/>
      <c r="K193" s="34"/>
      <c r="L193" s="34"/>
      <c r="M193" s="34"/>
      <c r="N193" s="34"/>
      <c r="O193" s="34"/>
      <c r="P193" s="34"/>
      <c r="Q193" s="58"/>
      <c r="R193" s="34"/>
      <c r="S193" s="34"/>
      <c r="T193" s="34"/>
      <c r="U193" s="34"/>
      <c r="V193" s="34"/>
      <c r="W193" s="34"/>
      <c r="X193" s="34"/>
      <c r="Y193" s="34"/>
      <c r="Z193" s="44"/>
      <c r="AA193" s="10"/>
    </row>
    <row r="194" spans="1:27" ht="127.05" customHeight="1" x14ac:dyDescent="0.3">
      <c r="A194" s="63" t="s">
        <v>268</v>
      </c>
      <c r="B194" s="76" t="s">
        <v>279</v>
      </c>
      <c r="C194" s="76"/>
      <c r="D194" s="77"/>
      <c r="E194" s="38"/>
      <c r="F194" s="34"/>
      <c r="G194" s="34"/>
      <c r="H194" s="34"/>
      <c r="I194" s="34"/>
      <c r="J194" s="34"/>
      <c r="K194" s="34"/>
      <c r="L194" s="34"/>
      <c r="M194" s="34"/>
      <c r="N194" s="34"/>
      <c r="O194" s="34"/>
      <c r="P194" s="34"/>
      <c r="Q194" s="58"/>
      <c r="R194" s="34"/>
      <c r="S194" s="34"/>
      <c r="T194" s="34"/>
      <c r="U194" s="34"/>
      <c r="V194" s="34"/>
      <c r="W194" s="34"/>
      <c r="X194" s="34"/>
      <c r="Y194" s="34"/>
      <c r="Z194" s="42"/>
      <c r="AA194" s="10"/>
    </row>
    <row r="195" spans="1:27" ht="32.25" customHeight="1" x14ac:dyDescent="0.3">
      <c r="A195" s="63" t="s">
        <v>269</v>
      </c>
      <c r="B195" s="76" t="s">
        <v>288</v>
      </c>
      <c r="C195" s="76"/>
      <c r="D195" s="77"/>
      <c r="E195" s="38"/>
      <c r="F195" s="34"/>
      <c r="G195" s="34"/>
      <c r="H195" s="34"/>
      <c r="I195" s="34"/>
      <c r="J195" s="34"/>
      <c r="K195" s="34"/>
      <c r="L195" s="34"/>
      <c r="M195" s="34"/>
      <c r="N195" s="34"/>
      <c r="O195" s="34"/>
      <c r="P195" s="34"/>
      <c r="Q195" s="58"/>
      <c r="R195" s="34"/>
      <c r="S195" s="34"/>
      <c r="T195" s="34"/>
      <c r="U195" s="34"/>
      <c r="V195" s="34"/>
      <c r="W195" s="34"/>
      <c r="X195" s="34"/>
      <c r="Y195" s="34"/>
      <c r="Z195" s="44"/>
      <c r="AA195" s="10"/>
    </row>
    <row r="196" spans="1:27" ht="32.25" customHeight="1" x14ac:dyDescent="0.3">
      <c r="A196" s="63" t="s">
        <v>270</v>
      </c>
      <c r="B196" s="76" t="s">
        <v>288</v>
      </c>
      <c r="C196" s="76"/>
      <c r="D196" s="77"/>
      <c r="E196" s="38"/>
      <c r="F196" s="34"/>
      <c r="G196" s="34"/>
      <c r="H196" s="34"/>
      <c r="I196" s="34"/>
      <c r="J196" s="34"/>
      <c r="K196" s="34"/>
      <c r="L196" s="34"/>
      <c r="M196" s="34"/>
      <c r="N196" s="34"/>
      <c r="O196" s="34"/>
      <c r="P196" s="34"/>
      <c r="Q196" s="58"/>
      <c r="R196" s="34"/>
      <c r="S196" s="41"/>
      <c r="T196" s="41"/>
      <c r="U196" s="41"/>
      <c r="V196" s="41"/>
      <c r="W196" s="41"/>
      <c r="X196" s="41"/>
      <c r="Y196" s="41"/>
      <c r="Z196" s="44"/>
      <c r="AA196" s="10"/>
    </row>
    <row r="197" spans="1:27" ht="32.25" customHeight="1" x14ac:dyDescent="0.3">
      <c r="A197" s="63" t="s">
        <v>280</v>
      </c>
      <c r="B197" s="76" t="s">
        <v>289</v>
      </c>
      <c r="C197" s="76"/>
      <c r="D197" s="77"/>
      <c r="E197" s="38"/>
      <c r="F197" s="34"/>
      <c r="G197" s="34"/>
      <c r="H197" s="34"/>
      <c r="I197" s="34"/>
      <c r="J197" s="34"/>
      <c r="K197" s="34"/>
      <c r="L197" s="34"/>
      <c r="M197" s="34"/>
      <c r="N197" s="34"/>
      <c r="O197" s="34"/>
      <c r="P197" s="34"/>
      <c r="Q197" s="58"/>
      <c r="R197" s="34"/>
      <c r="S197" s="34"/>
      <c r="T197" s="34"/>
      <c r="U197" s="34"/>
      <c r="V197" s="34"/>
      <c r="W197" s="34"/>
      <c r="X197" s="34"/>
      <c r="Y197" s="34"/>
      <c r="Z197" s="44"/>
      <c r="AA197" s="10"/>
    </row>
    <row r="198" spans="1:27" ht="32.25" customHeight="1" x14ac:dyDescent="0.3">
      <c r="A198" s="63" t="s">
        <v>281</v>
      </c>
      <c r="B198" s="76" t="s">
        <v>289</v>
      </c>
      <c r="C198" s="76"/>
      <c r="D198" s="77"/>
      <c r="E198" s="38"/>
      <c r="F198" s="34"/>
      <c r="G198" s="34"/>
      <c r="H198" s="34"/>
      <c r="I198" s="34"/>
      <c r="J198" s="34"/>
      <c r="K198" s="34"/>
      <c r="L198" s="34"/>
      <c r="M198" s="34"/>
      <c r="N198" s="34"/>
      <c r="O198" s="34"/>
      <c r="P198" s="34"/>
      <c r="Q198" s="58"/>
      <c r="R198" s="34"/>
      <c r="S198" s="34"/>
      <c r="T198" s="34"/>
      <c r="U198" s="34"/>
      <c r="V198" s="34"/>
      <c r="W198" s="34"/>
      <c r="X198" s="34"/>
      <c r="Y198" s="34"/>
      <c r="Z198" s="44"/>
      <c r="AA198" s="10"/>
    </row>
    <row r="199" spans="1:27" ht="32.25" customHeight="1" x14ac:dyDescent="0.3">
      <c r="A199" s="63" t="s">
        <v>282</v>
      </c>
      <c r="B199" s="76" t="s">
        <v>290</v>
      </c>
      <c r="C199" s="76"/>
      <c r="D199" s="77"/>
      <c r="E199" s="38"/>
      <c r="F199" s="34"/>
      <c r="G199" s="34"/>
      <c r="H199" s="34"/>
      <c r="I199" s="34"/>
      <c r="J199" s="34"/>
      <c r="K199" s="34"/>
      <c r="L199" s="34"/>
      <c r="M199" s="34"/>
      <c r="N199" s="34"/>
      <c r="O199" s="34"/>
      <c r="P199" s="34"/>
      <c r="Q199" s="58"/>
      <c r="R199" s="34"/>
      <c r="S199" s="34"/>
      <c r="T199" s="34"/>
      <c r="U199" s="34"/>
      <c r="V199" s="34"/>
      <c r="W199" s="34"/>
      <c r="X199" s="34"/>
      <c r="Y199" s="34"/>
      <c r="Z199" s="42"/>
      <c r="AA199" s="10"/>
    </row>
    <row r="200" spans="1:27" ht="32.25" customHeight="1" x14ac:dyDescent="0.3">
      <c r="A200" s="63" t="s">
        <v>283</v>
      </c>
      <c r="B200" s="76" t="s">
        <v>291</v>
      </c>
      <c r="C200" s="76"/>
      <c r="D200" s="77"/>
      <c r="E200" s="38"/>
      <c r="F200" s="34"/>
      <c r="G200" s="34"/>
      <c r="H200" s="34"/>
      <c r="I200" s="34"/>
      <c r="J200" s="34"/>
      <c r="K200" s="34"/>
      <c r="L200" s="34"/>
      <c r="M200" s="34"/>
      <c r="N200" s="34"/>
      <c r="O200" s="34"/>
      <c r="P200" s="34"/>
      <c r="Q200" s="58"/>
      <c r="R200" s="34"/>
      <c r="S200" s="41"/>
      <c r="T200" s="41"/>
      <c r="U200" s="41"/>
      <c r="V200" s="41"/>
      <c r="W200" s="41"/>
      <c r="X200" s="41"/>
      <c r="Y200" s="41"/>
      <c r="Z200" s="44"/>
      <c r="AA200" s="10"/>
    </row>
    <row r="201" spans="1:27" ht="168" customHeight="1" x14ac:dyDescent="0.3">
      <c r="A201" s="63" t="s">
        <v>284</v>
      </c>
      <c r="B201" s="76" t="s">
        <v>292</v>
      </c>
      <c r="C201" s="76"/>
      <c r="D201" s="77"/>
      <c r="E201" s="38"/>
      <c r="F201" s="34"/>
      <c r="G201" s="34"/>
      <c r="H201" s="34"/>
      <c r="I201" s="34"/>
      <c r="J201" s="34"/>
      <c r="K201" s="34"/>
      <c r="L201" s="34"/>
      <c r="M201" s="34"/>
      <c r="N201" s="58"/>
      <c r="O201" s="58"/>
      <c r="P201" s="58"/>
      <c r="Q201" s="58"/>
      <c r="R201" s="34"/>
      <c r="S201" s="34"/>
      <c r="T201" s="34"/>
      <c r="U201" s="34"/>
      <c r="V201" s="34"/>
      <c r="W201" s="34"/>
      <c r="X201" s="34"/>
      <c r="Y201" s="34"/>
      <c r="Z201" s="44"/>
      <c r="AA201" s="10"/>
    </row>
    <row r="202" spans="1:27" ht="108" customHeight="1" x14ac:dyDescent="0.3">
      <c r="A202" s="63" t="s">
        <v>285</v>
      </c>
      <c r="B202" s="76" t="s">
        <v>293</v>
      </c>
      <c r="C202" s="76"/>
      <c r="D202" s="77"/>
      <c r="E202" s="38"/>
      <c r="F202" s="34"/>
      <c r="G202" s="34"/>
      <c r="H202" s="34"/>
      <c r="I202" s="34"/>
      <c r="J202" s="34"/>
      <c r="K202" s="34"/>
      <c r="L202" s="34"/>
      <c r="M202" s="58"/>
      <c r="N202" s="58"/>
      <c r="O202" s="34"/>
      <c r="P202" s="34"/>
      <c r="Q202" s="34"/>
      <c r="R202" s="34"/>
      <c r="S202" s="34"/>
      <c r="T202" s="34"/>
      <c r="U202" s="34"/>
      <c r="V202" s="34"/>
      <c r="W202" s="34"/>
      <c r="X202" s="34"/>
      <c r="Y202" s="34"/>
      <c r="Z202" s="44"/>
      <c r="AA202" s="10"/>
    </row>
    <row r="203" spans="1:27" ht="117" customHeight="1" x14ac:dyDescent="0.3">
      <c r="A203" s="63" t="s">
        <v>286</v>
      </c>
      <c r="B203" s="76" t="s">
        <v>294</v>
      </c>
      <c r="C203" s="76"/>
      <c r="D203" s="77"/>
      <c r="E203" s="38"/>
      <c r="F203" s="34"/>
      <c r="G203" s="34"/>
      <c r="H203" s="34"/>
      <c r="I203" s="34"/>
      <c r="J203" s="34"/>
      <c r="K203" s="34"/>
      <c r="L203" s="34"/>
      <c r="M203" s="34"/>
      <c r="N203" s="34"/>
      <c r="O203" s="58"/>
      <c r="P203" s="58"/>
      <c r="Q203" s="34"/>
      <c r="R203" s="34"/>
      <c r="S203" s="34"/>
      <c r="T203" s="34"/>
      <c r="U203" s="34"/>
      <c r="V203" s="34"/>
      <c r="W203" s="34"/>
      <c r="X203" s="34"/>
      <c r="Y203" s="34"/>
      <c r="Z203" s="42"/>
      <c r="AA203" s="10"/>
    </row>
    <row r="204" spans="1:27" ht="133.94999999999999" customHeight="1" x14ac:dyDescent="0.3">
      <c r="A204" s="63" t="s">
        <v>287</v>
      </c>
      <c r="B204" s="76" t="s">
        <v>295</v>
      </c>
      <c r="C204" s="76"/>
      <c r="D204" s="77"/>
      <c r="E204" s="38"/>
      <c r="F204" s="58"/>
      <c r="G204" s="34"/>
      <c r="H204" s="34"/>
      <c r="I204" s="34"/>
      <c r="J204" s="34"/>
      <c r="K204" s="34"/>
      <c r="L204" s="34"/>
      <c r="M204" s="34"/>
      <c r="N204" s="34"/>
      <c r="O204" s="34"/>
      <c r="P204" s="34"/>
      <c r="Q204" s="34"/>
      <c r="R204" s="34"/>
      <c r="S204" s="34"/>
      <c r="T204" s="34"/>
      <c r="U204" s="34"/>
      <c r="V204" s="34"/>
      <c r="W204" s="34"/>
      <c r="X204" s="34"/>
      <c r="Y204" s="34"/>
      <c r="Z204" s="44"/>
      <c r="AA204" s="10"/>
    </row>
    <row r="205" spans="1:27" ht="32.25" customHeight="1" x14ac:dyDescent="0.3">
      <c r="A205" s="63" t="s">
        <v>296</v>
      </c>
      <c r="B205" s="76" t="s">
        <v>297</v>
      </c>
      <c r="C205" s="76"/>
      <c r="D205" s="77"/>
      <c r="E205" s="38"/>
      <c r="F205" s="34"/>
      <c r="G205" s="34"/>
      <c r="H205" s="34"/>
      <c r="I205" s="34"/>
      <c r="J205" s="34"/>
      <c r="K205" s="34"/>
      <c r="L205" s="34"/>
      <c r="M205" s="58"/>
      <c r="N205" s="58"/>
      <c r="O205" s="58"/>
      <c r="P205" s="58"/>
      <c r="Q205" s="58"/>
      <c r="R205" s="58"/>
      <c r="S205" s="58"/>
      <c r="T205" s="72"/>
      <c r="U205" s="72"/>
      <c r="V205" s="72"/>
      <c r="W205" s="72"/>
      <c r="X205" s="72"/>
      <c r="Y205" s="72"/>
      <c r="Z205" s="44"/>
      <c r="AA205" s="10"/>
    </row>
    <row r="206" spans="1:27" ht="32.25" customHeight="1" x14ac:dyDescent="0.3">
      <c r="A206" s="95" t="s">
        <v>298</v>
      </c>
      <c r="B206" s="96" t="s">
        <v>104</v>
      </c>
      <c r="C206" s="96"/>
      <c r="D206" s="97"/>
      <c r="E206" s="38"/>
      <c r="F206" s="34"/>
      <c r="G206" s="34"/>
      <c r="H206" s="34"/>
      <c r="I206" s="34"/>
      <c r="J206" s="34"/>
      <c r="K206" s="34"/>
      <c r="L206" s="34"/>
      <c r="M206" s="34"/>
      <c r="N206" s="34"/>
      <c r="O206" s="34"/>
      <c r="P206" s="34"/>
      <c r="Q206" s="34"/>
      <c r="R206" s="34"/>
      <c r="S206" s="34"/>
      <c r="T206" s="34"/>
      <c r="U206" s="34"/>
      <c r="V206" s="34"/>
      <c r="W206" s="34"/>
      <c r="X206" s="34"/>
      <c r="Y206" s="34"/>
      <c r="Z206" s="44"/>
      <c r="AA206" s="10"/>
    </row>
    <row r="207" spans="1:27" ht="32.25" customHeight="1" x14ac:dyDescent="0.3">
      <c r="A207" s="95" t="s">
        <v>48</v>
      </c>
      <c r="B207" s="96" t="s">
        <v>104</v>
      </c>
      <c r="C207" s="96"/>
      <c r="D207" s="97"/>
      <c r="E207" s="38"/>
      <c r="F207" s="34"/>
      <c r="G207" s="34"/>
      <c r="H207" s="34"/>
      <c r="I207" s="34"/>
      <c r="J207" s="34"/>
      <c r="K207" s="34"/>
      <c r="L207" s="34"/>
      <c r="M207" s="34"/>
      <c r="N207" s="34"/>
      <c r="O207" s="34"/>
      <c r="P207" s="34"/>
      <c r="Q207" s="34"/>
      <c r="R207" s="34"/>
      <c r="S207" s="34"/>
      <c r="T207" s="34"/>
      <c r="U207" s="34"/>
      <c r="V207" s="34"/>
      <c r="W207" s="34"/>
      <c r="X207" s="34"/>
      <c r="Y207" s="34"/>
      <c r="Z207" s="44"/>
      <c r="AA207" s="10"/>
    </row>
    <row r="208" spans="1:27" ht="32.25" customHeight="1" x14ac:dyDescent="0.3">
      <c r="A208" s="63"/>
      <c r="B208" s="76" t="s">
        <v>299</v>
      </c>
      <c r="C208" s="76"/>
      <c r="D208" s="77"/>
      <c r="E208" s="38"/>
      <c r="F208" s="34"/>
      <c r="G208" s="34"/>
      <c r="H208" s="34"/>
      <c r="I208" s="34"/>
      <c r="J208" s="34"/>
      <c r="K208" s="58"/>
      <c r="L208" s="34"/>
      <c r="M208" s="34"/>
      <c r="N208" s="34"/>
      <c r="O208" s="34"/>
      <c r="P208" s="34"/>
      <c r="Q208" s="34"/>
      <c r="R208" s="34"/>
      <c r="S208" s="34"/>
      <c r="T208" s="34"/>
      <c r="U208" s="34"/>
      <c r="V208" s="34"/>
      <c r="W208" s="34"/>
      <c r="X208" s="34"/>
      <c r="Y208" s="34"/>
      <c r="Z208" s="44"/>
      <c r="AA208" s="10"/>
    </row>
    <row r="209" spans="1:27" ht="32.25" customHeight="1" x14ac:dyDescent="0.3">
      <c r="A209" s="63"/>
      <c r="B209" s="76" t="s">
        <v>300</v>
      </c>
      <c r="C209" s="76"/>
      <c r="D209" s="77"/>
      <c r="E209" s="38"/>
      <c r="F209" s="34"/>
      <c r="G209" s="34"/>
      <c r="H209" s="34"/>
      <c r="I209" s="34"/>
      <c r="J209" s="34"/>
      <c r="K209" s="34"/>
      <c r="L209" s="58"/>
      <c r="M209" s="34"/>
      <c r="N209" s="34"/>
      <c r="O209" s="34"/>
      <c r="P209" s="34"/>
      <c r="Q209" s="34"/>
      <c r="R209" s="34"/>
      <c r="S209" s="41"/>
      <c r="T209" s="41"/>
      <c r="U209" s="41"/>
      <c r="V209" s="41"/>
      <c r="W209" s="41"/>
      <c r="X209" s="41"/>
      <c r="Y209" s="41"/>
      <c r="Z209" s="44"/>
      <c r="AA209" s="10"/>
    </row>
    <row r="210" spans="1:27" ht="32.25" customHeight="1" x14ac:dyDescent="0.3">
      <c r="A210" s="63"/>
      <c r="B210" s="76" t="s">
        <v>301</v>
      </c>
      <c r="C210" s="76"/>
      <c r="D210" s="77"/>
      <c r="E210" s="38"/>
      <c r="F210" s="34"/>
      <c r="G210" s="34"/>
      <c r="H210" s="34"/>
      <c r="I210" s="34"/>
      <c r="J210" s="34"/>
      <c r="K210" s="34"/>
      <c r="L210" s="58"/>
      <c r="M210" s="34"/>
      <c r="N210" s="34"/>
      <c r="O210" s="34"/>
      <c r="P210" s="34"/>
      <c r="Q210" s="34"/>
      <c r="R210" s="34"/>
      <c r="S210" s="41"/>
      <c r="T210" s="41"/>
      <c r="U210" s="41"/>
      <c r="V210" s="41"/>
      <c r="W210" s="41"/>
      <c r="X210" s="41"/>
      <c r="Y210" s="41"/>
      <c r="Z210" s="44"/>
      <c r="AA210" s="10"/>
    </row>
    <row r="211" spans="1:27" ht="32.25" customHeight="1" x14ac:dyDescent="0.3">
      <c r="A211" s="95" t="s">
        <v>302</v>
      </c>
      <c r="B211" s="96" t="s">
        <v>104</v>
      </c>
      <c r="C211" s="96"/>
      <c r="D211" s="97"/>
      <c r="E211" s="38"/>
      <c r="F211" s="34"/>
      <c r="G211" s="34"/>
      <c r="H211" s="34"/>
      <c r="I211" s="34"/>
      <c r="J211" s="34"/>
      <c r="K211" s="34"/>
      <c r="L211" s="34"/>
      <c r="M211" s="34"/>
      <c r="N211" s="34"/>
      <c r="O211" s="34"/>
      <c r="P211" s="34"/>
      <c r="Q211" s="34"/>
      <c r="R211" s="34"/>
      <c r="S211" s="41"/>
      <c r="T211" s="41"/>
      <c r="U211" s="41"/>
      <c r="V211" s="41"/>
      <c r="W211" s="41"/>
      <c r="X211" s="41"/>
      <c r="Y211" s="41"/>
      <c r="Z211" s="44"/>
      <c r="AA211" s="10"/>
    </row>
    <row r="212" spans="1:27" ht="55.05" customHeight="1" x14ac:dyDescent="0.3">
      <c r="A212" s="63"/>
      <c r="B212" s="76" t="s">
        <v>303</v>
      </c>
      <c r="C212" s="76"/>
      <c r="D212" s="77"/>
      <c r="E212" s="38"/>
      <c r="F212" s="34"/>
      <c r="G212" s="34"/>
      <c r="H212" s="34"/>
      <c r="I212" s="34"/>
      <c r="J212" s="34"/>
      <c r="K212" s="34"/>
      <c r="L212" s="34"/>
      <c r="M212" s="34"/>
      <c r="N212" s="34"/>
      <c r="O212" s="34"/>
      <c r="P212" s="34"/>
      <c r="Q212" s="34"/>
      <c r="R212" s="58"/>
      <c r="S212" s="41"/>
      <c r="T212" s="41"/>
      <c r="U212" s="41"/>
      <c r="V212" s="41"/>
      <c r="W212" s="41"/>
      <c r="X212" s="41"/>
      <c r="Y212" s="41"/>
      <c r="Z212" s="44"/>
      <c r="AA212" s="10"/>
    </row>
    <row r="213" spans="1:27" ht="32.25" customHeight="1" x14ac:dyDescent="0.3">
      <c r="A213" s="63"/>
      <c r="B213" s="76" t="s">
        <v>304</v>
      </c>
      <c r="C213" s="76"/>
      <c r="D213" s="77"/>
      <c r="E213" s="38"/>
      <c r="F213" s="34"/>
      <c r="G213" s="34"/>
      <c r="H213" s="34"/>
      <c r="I213" s="34"/>
      <c r="J213" s="34"/>
      <c r="K213" s="34"/>
      <c r="L213" s="34"/>
      <c r="M213" s="34"/>
      <c r="N213" s="34"/>
      <c r="O213" s="34"/>
      <c r="P213" s="34"/>
      <c r="Q213" s="34"/>
      <c r="R213" s="58"/>
      <c r="S213" s="41"/>
      <c r="T213" s="41"/>
      <c r="U213" s="41"/>
      <c r="V213" s="41"/>
      <c r="W213" s="41"/>
      <c r="X213" s="41"/>
      <c r="Y213" s="41"/>
      <c r="Z213" s="44"/>
      <c r="AA213" s="10"/>
    </row>
    <row r="214" spans="1:27" ht="32.25" customHeight="1" x14ac:dyDescent="0.3">
      <c r="A214" s="78" t="s">
        <v>305</v>
      </c>
      <c r="B214" s="79" t="s">
        <v>104</v>
      </c>
      <c r="C214" s="79"/>
      <c r="D214" s="80"/>
      <c r="E214" s="38"/>
      <c r="F214" s="34"/>
      <c r="G214" s="34"/>
      <c r="H214" s="34"/>
      <c r="I214" s="34"/>
      <c r="J214" s="34"/>
      <c r="K214" s="34"/>
      <c r="L214" s="34"/>
      <c r="M214" s="34"/>
      <c r="N214" s="34"/>
      <c r="O214" s="34"/>
      <c r="P214" s="34"/>
      <c r="Q214" s="34"/>
      <c r="R214" s="72"/>
      <c r="S214" s="41"/>
      <c r="T214" s="41"/>
      <c r="U214" s="41"/>
      <c r="V214" s="41"/>
      <c r="W214" s="41"/>
      <c r="X214" s="41"/>
      <c r="Y214" s="41"/>
      <c r="Z214" s="44"/>
      <c r="AA214" s="10"/>
    </row>
    <row r="215" spans="1:27" ht="76.05" customHeight="1" x14ac:dyDescent="0.3">
      <c r="A215" s="63"/>
      <c r="B215" s="76" t="s">
        <v>306</v>
      </c>
      <c r="C215" s="76"/>
      <c r="D215" s="77"/>
      <c r="E215" s="38"/>
      <c r="F215" s="58"/>
      <c r="G215" s="58"/>
      <c r="H215" s="58"/>
      <c r="I215" s="58"/>
      <c r="J215" s="34"/>
      <c r="K215" s="34"/>
      <c r="L215" s="34"/>
      <c r="M215" s="34"/>
      <c r="N215" s="34"/>
      <c r="O215" s="34"/>
      <c r="P215" s="34"/>
      <c r="Q215" s="34"/>
      <c r="R215" s="72"/>
      <c r="S215" s="41"/>
      <c r="T215" s="41"/>
      <c r="U215" s="41"/>
      <c r="V215" s="41"/>
      <c r="W215" s="41"/>
      <c r="X215" s="41"/>
      <c r="Y215" s="41"/>
      <c r="Z215" s="44"/>
      <c r="AA215" s="10"/>
    </row>
    <row r="216" spans="1:27" ht="100.05" customHeight="1" x14ac:dyDescent="0.3">
      <c r="A216" s="63"/>
      <c r="B216" s="76" t="s">
        <v>293</v>
      </c>
      <c r="C216" s="76"/>
      <c r="D216" s="77"/>
      <c r="E216" s="38"/>
      <c r="F216" s="34"/>
      <c r="G216" s="34"/>
      <c r="H216" s="34"/>
      <c r="I216" s="34"/>
      <c r="J216" s="58"/>
      <c r="K216" s="34"/>
      <c r="L216" s="34"/>
      <c r="M216" s="34"/>
      <c r="N216" s="34"/>
      <c r="O216" s="34"/>
      <c r="P216" s="34"/>
      <c r="Q216" s="34"/>
      <c r="R216" s="72"/>
      <c r="S216" s="41"/>
      <c r="T216" s="41"/>
      <c r="U216" s="41"/>
      <c r="V216" s="41"/>
      <c r="W216" s="41"/>
      <c r="X216" s="41"/>
      <c r="Y216" s="41"/>
      <c r="Z216" s="44"/>
      <c r="AA216" s="10"/>
    </row>
    <row r="217" spans="1:27" ht="135" customHeight="1" x14ac:dyDescent="0.3">
      <c r="A217" s="63"/>
      <c r="B217" s="76" t="s">
        <v>307</v>
      </c>
      <c r="C217" s="76"/>
      <c r="D217" s="77"/>
      <c r="E217" s="38"/>
      <c r="F217" s="34"/>
      <c r="G217" s="34"/>
      <c r="H217" s="34"/>
      <c r="I217" s="34"/>
      <c r="J217" s="34"/>
      <c r="K217" s="58"/>
      <c r="L217" s="58"/>
      <c r="M217" s="58"/>
      <c r="N217" s="34"/>
      <c r="O217" s="34"/>
      <c r="P217" s="34"/>
      <c r="Q217" s="34"/>
      <c r="R217" s="72"/>
      <c r="S217" s="41"/>
      <c r="T217" s="41"/>
      <c r="U217" s="41"/>
      <c r="V217" s="41"/>
      <c r="W217" s="41"/>
      <c r="X217" s="41"/>
      <c r="Y217" s="41"/>
      <c r="Z217" s="44"/>
      <c r="AA217" s="10"/>
    </row>
    <row r="218" spans="1:27" ht="208.05" customHeight="1" x14ac:dyDescent="0.3">
      <c r="A218" s="63"/>
      <c r="B218" s="76" t="s">
        <v>308</v>
      </c>
      <c r="C218" s="76"/>
      <c r="D218" s="77"/>
      <c r="E218" s="38"/>
      <c r="F218" s="34"/>
      <c r="G218" s="34"/>
      <c r="H218" s="34"/>
      <c r="I218" s="34"/>
      <c r="J218" s="34"/>
      <c r="K218" s="34"/>
      <c r="L218" s="34"/>
      <c r="M218" s="34"/>
      <c r="N218" s="58"/>
      <c r="O218" s="58"/>
      <c r="P218" s="34"/>
      <c r="Q218" s="34"/>
      <c r="R218" s="34"/>
      <c r="S218" s="34"/>
      <c r="T218" s="34"/>
      <c r="U218" s="34"/>
      <c r="V218" s="34"/>
      <c r="W218" s="34"/>
      <c r="X218" s="34"/>
      <c r="Y218" s="34"/>
      <c r="Z218" s="44"/>
      <c r="AA218" s="10"/>
    </row>
    <row r="219" spans="1:27" ht="190.95" customHeight="1" x14ac:dyDescent="0.3">
      <c r="A219" s="63"/>
      <c r="B219" s="76" t="s">
        <v>309</v>
      </c>
      <c r="C219" s="76"/>
      <c r="D219" s="77"/>
      <c r="E219" s="38"/>
      <c r="F219" s="34"/>
      <c r="G219" s="34"/>
      <c r="H219" s="34"/>
      <c r="I219" s="34"/>
      <c r="J219" s="34"/>
      <c r="K219" s="34"/>
      <c r="L219" s="34"/>
      <c r="M219" s="34"/>
      <c r="N219" s="34"/>
      <c r="O219" s="34"/>
      <c r="P219" s="58"/>
      <c r="Q219" s="58"/>
      <c r="R219" s="34"/>
      <c r="S219" s="34"/>
      <c r="T219" s="34"/>
      <c r="U219" s="34"/>
      <c r="V219" s="34"/>
      <c r="W219" s="34"/>
      <c r="X219" s="34"/>
      <c r="Y219" s="34"/>
      <c r="Z219" s="44"/>
      <c r="AA219" s="10"/>
    </row>
    <row r="220" spans="1:27" ht="156" customHeight="1" x14ac:dyDescent="0.3">
      <c r="A220" s="63"/>
      <c r="B220" s="76" t="s">
        <v>310</v>
      </c>
      <c r="C220" s="76"/>
      <c r="D220" s="77"/>
      <c r="E220" s="38"/>
      <c r="F220" s="34"/>
      <c r="G220" s="34"/>
      <c r="H220" s="34"/>
      <c r="I220" s="34"/>
      <c r="J220" s="34"/>
      <c r="K220" s="34"/>
      <c r="L220" s="34"/>
      <c r="M220" s="34"/>
      <c r="N220" s="34"/>
      <c r="O220" s="34"/>
      <c r="P220" s="34"/>
      <c r="Q220" s="34"/>
      <c r="R220" s="58"/>
      <c r="S220" s="58"/>
      <c r="T220" s="72"/>
      <c r="U220" s="72"/>
      <c r="V220" s="72"/>
      <c r="W220" s="72"/>
      <c r="X220" s="72"/>
      <c r="Y220" s="72"/>
      <c r="Z220" s="42"/>
      <c r="AA220" s="10"/>
    </row>
    <row r="221" spans="1:27" ht="265.05" customHeight="1" x14ac:dyDescent="0.3">
      <c r="A221" s="63"/>
      <c r="B221" s="76" t="s">
        <v>317</v>
      </c>
      <c r="C221" s="76"/>
      <c r="D221" s="77"/>
      <c r="E221" s="38"/>
      <c r="F221" s="34"/>
      <c r="G221" s="34"/>
      <c r="H221" s="34"/>
      <c r="I221" s="34"/>
      <c r="J221" s="34"/>
      <c r="K221" s="34"/>
      <c r="L221" s="34"/>
      <c r="M221" s="34"/>
      <c r="N221" s="34"/>
      <c r="O221" s="34"/>
      <c r="P221" s="34"/>
      <c r="Q221" s="34"/>
      <c r="R221" s="34"/>
      <c r="S221" s="34"/>
      <c r="T221" s="58"/>
      <c r="U221" s="58"/>
      <c r="V221" s="34"/>
      <c r="W221" s="34"/>
      <c r="X221" s="34"/>
      <c r="Y221" s="34"/>
      <c r="Z221" s="44"/>
      <c r="AA221" s="10"/>
    </row>
    <row r="222" spans="1:27" ht="97.05" customHeight="1" x14ac:dyDescent="0.3">
      <c r="A222" s="63"/>
      <c r="B222" s="76" t="s">
        <v>318</v>
      </c>
      <c r="C222" s="76"/>
      <c r="D222" s="77"/>
      <c r="E222" s="38"/>
      <c r="F222" s="34"/>
      <c r="G222" s="34"/>
      <c r="H222" s="34"/>
      <c r="I222" s="34"/>
      <c r="J222" s="34"/>
      <c r="K222" s="34"/>
      <c r="L222" s="34"/>
      <c r="M222" s="34"/>
      <c r="N222" s="34"/>
      <c r="O222" s="34"/>
      <c r="P222" s="34"/>
      <c r="Q222" s="34"/>
      <c r="R222" s="72"/>
      <c r="S222" s="41"/>
      <c r="T222" s="41"/>
      <c r="U222" s="41"/>
      <c r="V222" s="59"/>
      <c r="W222" s="59"/>
      <c r="X222" s="41"/>
      <c r="Y222" s="41"/>
      <c r="Z222" s="44"/>
      <c r="AA222" s="10"/>
    </row>
    <row r="223" spans="1:27" ht="32.25" customHeight="1" x14ac:dyDescent="0.3">
      <c r="A223" s="63"/>
      <c r="B223" s="76" t="s">
        <v>319</v>
      </c>
      <c r="C223" s="76"/>
      <c r="D223" s="77"/>
      <c r="E223" s="38"/>
      <c r="F223" s="34"/>
      <c r="G223" s="34"/>
      <c r="H223" s="34"/>
      <c r="I223" s="34"/>
      <c r="J223" s="34"/>
      <c r="K223" s="34"/>
      <c r="L223" s="34"/>
      <c r="M223" s="34"/>
      <c r="N223" s="34"/>
      <c r="O223" s="34"/>
      <c r="P223" s="34"/>
      <c r="Q223" s="34"/>
      <c r="R223" s="34"/>
      <c r="S223" s="34"/>
      <c r="T223" s="34"/>
      <c r="U223" s="34"/>
      <c r="V223" s="34"/>
      <c r="W223" s="34"/>
      <c r="X223" s="58"/>
      <c r="Y223" s="58"/>
      <c r="Z223" s="44"/>
      <c r="AA223" s="10"/>
    </row>
    <row r="224" spans="1:27" ht="32.25" customHeight="1" x14ac:dyDescent="0.3">
      <c r="A224" s="63"/>
      <c r="B224" s="76"/>
      <c r="C224" s="76"/>
      <c r="D224" s="77"/>
      <c r="E224" s="38"/>
      <c r="F224" s="34"/>
      <c r="G224" s="34"/>
      <c r="H224" s="34"/>
      <c r="I224" s="34"/>
      <c r="J224" s="34"/>
      <c r="K224" s="34"/>
      <c r="L224" s="34"/>
      <c r="M224" s="34"/>
      <c r="N224" s="34"/>
      <c r="O224" s="34"/>
      <c r="P224" s="34"/>
      <c r="Q224" s="34"/>
      <c r="R224" s="34"/>
      <c r="S224" s="34"/>
      <c r="T224" s="34"/>
      <c r="U224" s="34"/>
      <c r="V224" s="34"/>
      <c r="W224" s="34"/>
      <c r="X224" s="34"/>
      <c r="Y224" s="34"/>
      <c r="Z224" s="44"/>
      <c r="AA224" s="10"/>
    </row>
    <row r="225" spans="1:30" ht="32.25" customHeight="1" x14ac:dyDescent="0.3">
      <c r="A225" s="63"/>
      <c r="B225" s="76"/>
      <c r="C225" s="76"/>
      <c r="D225" s="77"/>
      <c r="E225" s="38"/>
      <c r="F225" s="34"/>
      <c r="G225" s="34"/>
      <c r="H225" s="34"/>
      <c r="I225" s="34"/>
      <c r="J225" s="34"/>
      <c r="K225" s="34"/>
      <c r="L225" s="34"/>
      <c r="M225" s="34"/>
      <c r="N225" s="34"/>
      <c r="O225" s="34"/>
      <c r="P225" s="34"/>
      <c r="Q225" s="34"/>
      <c r="R225" s="34"/>
      <c r="S225" s="34"/>
      <c r="T225" s="34"/>
      <c r="U225" s="34"/>
      <c r="V225" s="34"/>
      <c r="W225" s="34"/>
      <c r="X225" s="34"/>
      <c r="Y225" s="34"/>
      <c r="Z225" s="42"/>
      <c r="AA225" s="10"/>
    </row>
    <row r="226" spans="1:30" ht="32.25" customHeight="1" x14ac:dyDescent="0.3">
      <c r="A226" s="63"/>
      <c r="B226" s="76"/>
      <c r="C226" s="76"/>
      <c r="D226" s="77"/>
      <c r="E226" s="38"/>
      <c r="F226" s="34"/>
      <c r="G226" s="34"/>
      <c r="H226" s="34"/>
      <c r="I226" s="34"/>
      <c r="J226" s="34"/>
      <c r="K226" s="34"/>
      <c r="L226" s="34"/>
      <c r="M226" s="34"/>
      <c r="N226" s="34"/>
      <c r="O226" s="34"/>
      <c r="P226" s="34"/>
      <c r="Q226" s="34"/>
      <c r="R226" s="34"/>
      <c r="S226" s="34"/>
      <c r="T226" s="34"/>
      <c r="U226" s="34"/>
      <c r="V226" s="34"/>
      <c r="W226" s="34"/>
      <c r="X226" s="34"/>
      <c r="Y226" s="34"/>
      <c r="Z226" s="44"/>
      <c r="AA226" s="10"/>
    </row>
    <row r="227" spans="1:30" x14ac:dyDescent="0.3">
      <c r="A227" s="94"/>
      <c r="B227" s="76"/>
      <c r="C227" s="76"/>
      <c r="D227" s="77"/>
      <c r="E227" s="38"/>
      <c r="F227" s="34"/>
      <c r="G227" s="34"/>
      <c r="H227" s="34"/>
      <c r="I227" s="34"/>
      <c r="J227" s="34"/>
      <c r="K227" s="34"/>
      <c r="L227" s="34"/>
      <c r="M227" s="34"/>
      <c r="N227" s="34"/>
      <c r="O227" s="34"/>
      <c r="P227" s="34"/>
      <c r="Q227" s="34"/>
      <c r="R227" s="34"/>
      <c r="S227" s="34"/>
      <c r="T227" s="34"/>
      <c r="U227" s="34"/>
      <c r="V227" s="34"/>
      <c r="W227" s="34"/>
      <c r="X227" s="34"/>
      <c r="Y227" s="34"/>
      <c r="Z227" s="44"/>
      <c r="AA227" s="10"/>
    </row>
    <row r="228" spans="1:30" x14ac:dyDescent="0.3">
      <c r="A228" s="36"/>
      <c r="B228" s="108"/>
      <c r="C228" s="108"/>
      <c r="D228" s="37"/>
      <c r="E228" s="38"/>
      <c r="F228" s="34"/>
      <c r="G228" s="34"/>
      <c r="H228" s="34"/>
      <c r="I228" s="34"/>
      <c r="J228" s="34"/>
      <c r="K228" s="34"/>
      <c r="L228" s="34"/>
      <c r="M228" s="34"/>
      <c r="N228" s="34"/>
      <c r="O228" s="34"/>
      <c r="P228" s="34"/>
      <c r="Q228" s="34"/>
      <c r="R228" s="34"/>
      <c r="S228" s="34"/>
      <c r="T228" s="34"/>
      <c r="U228" s="34"/>
      <c r="V228" s="34"/>
      <c r="W228" s="34"/>
      <c r="X228" s="34"/>
      <c r="Y228" s="34"/>
      <c r="Z228" s="42"/>
      <c r="AD228" s="14"/>
    </row>
    <row r="229" spans="1:30" ht="17.399999999999999" x14ac:dyDescent="0.45">
      <c r="A229" s="45" t="s">
        <v>4</v>
      </c>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30" ht="7.95" customHeight="1" x14ac:dyDescent="0.3">
      <c r="A230" s="41"/>
      <c r="B230" s="122"/>
      <c r="C230" s="122"/>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30" x14ac:dyDescent="0.3">
      <c r="A231" s="41"/>
      <c r="B231" s="118" t="str">
        <f>A12</f>
        <v>CAT CAMPO</v>
      </c>
      <c r="C231" s="118"/>
      <c r="D231" s="118"/>
      <c r="E231" s="118"/>
      <c r="F231" s="118"/>
      <c r="G231" s="46"/>
      <c r="H231" s="46"/>
      <c r="I231" s="46"/>
      <c r="J231" s="46"/>
      <c r="K231" s="46"/>
      <c r="L231" s="46"/>
      <c r="M231" s="46"/>
      <c r="N231" s="46"/>
      <c r="O231" s="46"/>
      <c r="P231" s="46"/>
      <c r="Q231" s="46"/>
      <c r="R231" s="46"/>
      <c r="S231" s="46"/>
      <c r="T231" s="46"/>
      <c r="U231" s="46"/>
      <c r="V231" s="46"/>
      <c r="W231" s="46"/>
      <c r="X231" s="46"/>
      <c r="Y231" s="46"/>
      <c r="Z231" s="41"/>
    </row>
    <row r="232" spans="1:30" ht="7.95" customHeight="1" x14ac:dyDescent="0.3">
      <c r="A232" s="41"/>
      <c r="B232" s="47"/>
      <c r="C232" s="47"/>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30" x14ac:dyDescent="0.3">
      <c r="A233" s="41"/>
      <c r="B233" s="118" t="str">
        <f>A13</f>
        <v>PROYECTO EJECUTIVO</v>
      </c>
      <c r="C233" s="118"/>
      <c r="D233" s="118"/>
      <c r="E233" s="118"/>
      <c r="F233" s="48"/>
      <c r="G233" s="48"/>
      <c r="H233" s="49"/>
      <c r="I233" s="49"/>
      <c r="J233" s="49"/>
      <c r="K233" s="49"/>
      <c r="L233" s="48"/>
      <c r="M233" s="48"/>
      <c r="N233" s="49"/>
      <c r="O233" s="49"/>
      <c r="P233" s="49"/>
      <c r="Q233" s="49"/>
      <c r="R233" s="49"/>
      <c r="S233" s="49"/>
      <c r="T233" s="49"/>
      <c r="U233" s="49"/>
      <c r="V233" s="49"/>
      <c r="W233" s="49"/>
      <c r="X233" s="49"/>
      <c r="Y233" s="49"/>
      <c r="Z233" s="41"/>
    </row>
    <row r="234" spans="1:30" ht="7.2" customHeight="1" x14ac:dyDescent="0.3">
      <c r="A234" s="41"/>
      <c r="B234" s="46"/>
      <c r="C234" s="46"/>
      <c r="D234" s="46"/>
      <c r="E234" s="46"/>
      <c r="F234" s="41"/>
      <c r="G234" s="41"/>
      <c r="H234" s="41"/>
      <c r="I234" s="41"/>
      <c r="J234" s="41"/>
      <c r="K234" s="41"/>
      <c r="L234" s="41"/>
      <c r="M234" s="41"/>
      <c r="N234" s="41"/>
      <c r="O234" s="41"/>
      <c r="P234" s="41"/>
      <c r="Q234" s="41"/>
      <c r="R234" s="41"/>
      <c r="S234" s="41"/>
      <c r="T234" s="41"/>
      <c r="U234" s="41"/>
      <c r="V234" s="41"/>
      <c r="W234" s="41"/>
      <c r="X234" s="41"/>
      <c r="Y234" s="41"/>
      <c r="Z234" s="41"/>
      <c r="AA234" s="10"/>
    </row>
    <row r="235" spans="1:30" x14ac:dyDescent="0.3">
      <c r="A235" s="41"/>
      <c r="B235" s="118" t="str">
        <f>A17</f>
        <v>LEGAL ECONOMICO</v>
      </c>
      <c r="C235" s="118"/>
      <c r="D235" s="118"/>
      <c r="E235" s="118"/>
      <c r="F235" s="48"/>
      <c r="G235" s="48"/>
      <c r="H235" s="49"/>
      <c r="I235" s="49"/>
      <c r="J235" s="49"/>
      <c r="K235" s="49"/>
      <c r="L235" s="48"/>
      <c r="M235" s="48"/>
      <c r="N235" s="49"/>
      <c r="O235" s="49"/>
      <c r="P235" s="49"/>
      <c r="Q235" s="49"/>
      <c r="R235" s="49"/>
      <c r="S235" s="49"/>
      <c r="T235" s="49"/>
      <c r="U235" s="49"/>
      <c r="V235" s="49"/>
      <c r="W235" s="49"/>
      <c r="X235" s="49"/>
      <c r="Y235" s="49"/>
      <c r="Z235" s="50"/>
      <c r="AA235" s="10"/>
    </row>
    <row r="236" spans="1:30" ht="6.75" customHeight="1" x14ac:dyDescent="0.3">
      <c r="A236" s="41"/>
      <c r="B236" s="46"/>
      <c r="C236" s="46"/>
      <c r="D236" s="46"/>
      <c r="E236" s="46"/>
      <c r="F236" s="41"/>
      <c r="G236" s="41"/>
      <c r="H236" s="41"/>
      <c r="I236" s="41"/>
      <c r="J236" s="41"/>
      <c r="K236" s="41"/>
      <c r="L236" s="41"/>
      <c r="M236" s="41"/>
      <c r="N236" s="41"/>
      <c r="O236" s="41"/>
      <c r="P236" s="41"/>
      <c r="Q236" s="41"/>
      <c r="R236" s="41"/>
      <c r="S236" s="41"/>
      <c r="T236" s="41"/>
      <c r="U236" s="41"/>
      <c r="V236" s="41"/>
      <c r="W236" s="41"/>
      <c r="X236" s="41"/>
      <c r="Y236" s="41"/>
      <c r="Z236" s="41"/>
      <c r="AA236" s="10"/>
    </row>
    <row r="237" spans="1:30" x14ac:dyDescent="0.3">
      <c r="A237" s="41"/>
      <c r="B237" s="118" t="str">
        <f>A26</f>
        <v>ADQUISICION DE MATERIALES</v>
      </c>
      <c r="C237" s="118"/>
      <c r="D237" s="118"/>
      <c r="E237" s="118"/>
      <c r="F237" s="49"/>
      <c r="G237" s="48"/>
      <c r="H237" s="48"/>
      <c r="I237" s="49"/>
      <c r="J237" s="49"/>
      <c r="K237" s="49"/>
      <c r="L237" s="49"/>
      <c r="M237" s="48"/>
      <c r="N237" s="48"/>
      <c r="O237" s="49"/>
      <c r="P237" s="49"/>
      <c r="Q237" s="49"/>
      <c r="R237" s="49"/>
      <c r="S237" s="49"/>
      <c r="T237" s="49"/>
      <c r="U237" s="49"/>
      <c r="V237" s="49"/>
      <c r="W237" s="49"/>
      <c r="X237" s="49"/>
      <c r="Y237" s="49"/>
      <c r="Z237" s="41"/>
      <c r="AA237" s="10"/>
    </row>
    <row r="238" spans="1:30" ht="7.2" customHeight="1" x14ac:dyDescent="0.3">
      <c r="A238" s="41"/>
      <c r="B238" s="46"/>
      <c r="C238" s="46"/>
      <c r="D238" s="46"/>
      <c r="E238" s="46"/>
      <c r="F238" s="41"/>
      <c r="G238" s="41"/>
      <c r="H238" s="41"/>
      <c r="I238" s="41"/>
      <c r="J238" s="41"/>
      <c r="K238" s="41"/>
      <c r="L238" s="41"/>
      <c r="M238" s="41"/>
      <c r="N238" s="41"/>
      <c r="O238" s="41"/>
      <c r="P238" s="41"/>
      <c r="Q238" s="41"/>
      <c r="R238" s="41"/>
      <c r="S238" s="41"/>
      <c r="T238" s="41"/>
      <c r="U238" s="41"/>
      <c r="V238" s="41"/>
      <c r="W238" s="41"/>
      <c r="X238" s="41"/>
      <c r="Y238" s="41"/>
      <c r="Z238" s="41"/>
      <c r="AA238" s="10"/>
    </row>
    <row r="239" spans="1:30" x14ac:dyDescent="0.3">
      <c r="A239" s="41"/>
      <c r="B239" s="118" t="str">
        <f>A28</f>
        <v>(SALAS )CFE SUMINISTRO 1- MEDIA TENSIÓN → EDAM + CÁRCAMO DE BOMBEO</v>
      </c>
      <c r="C239" s="118"/>
      <c r="D239" s="118"/>
      <c r="E239" s="118"/>
      <c r="F239" s="48"/>
      <c r="G239" s="49"/>
      <c r="H239" s="49"/>
      <c r="I239" s="49"/>
      <c r="J239" s="49"/>
      <c r="K239" s="49"/>
      <c r="L239" s="49"/>
      <c r="M239" s="49"/>
      <c r="N239" s="49"/>
      <c r="O239" s="49"/>
      <c r="P239" s="49"/>
      <c r="Q239" s="49"/>
      <c r="R239" s="49"/>
      <c r="S239" s="49"/>
      <c r="T239" s="49"/>
      <c r="U239" s="49"/>
      <c r="V239" s="49"/>
      <c r="W239" s="49"/>
      <c r="X239" s="49"/>
      <c r="Y239" s="49"/>
      <c r="Z239" s="41"/>
      <c r="AA239" s="10"/>
    </row>
    <row r="240" spans="1:30" ht="7.2" customHeight="1" x14ac:dyDescent="0.3">
      <c r="A240" s="41"/>
      <c r="B240" s="46"/>
      <c r="C240" s="46"/>
      <c r="D240" s="46"/>
      <c r="E240" s="46"/>
      <c r="F240" s="41"/>
      <c r="G240" s="41"/>
      <c r="H240" s="41"/>
      <c r="I240" s="41"/>
      <c r="J240" s="41"/>
      <c r="K240" s="41"/>
      <c r="L240" s="41"/>
      <c r="M240" s="41"/>
      <c r="N240" s="41"/>
      <c r="O240" s="41"/>
      <c r="P240" s="41"/>
      <c r="Q240" s="41"/>
      <c r="R240" s="41"/>
      <c r="S240" s="41"/>
      <c r="T240" s="41"/>
      <c r="U240" s="41"/>
      <c r="V240" s="41"/>
      <c r="W240" s="41"/>
      <c r="X240" s="41"/>
      <c r="Y240" s="41"/>
      <c r="Z240" s="41"/>
      <c r="AA240" s="10"/>
    </row>
    <row r="241" spans="1:27" x14ac:dyDescent="0.3">
      <c r="A241" s="41"/>
      <c r="B241" s="118" t="str">
        <f>A35</f>
        <v>CFE SUMINISTRO 2 - MEDIA TENSIÓN → ESTACIÓN DE BOMBEO EB2</v>
      </c>
      <c r="C241" s="118"/>
      <c r="D241" s="118"/>
      <c r="E241" s="118"/>
      <c r="F241" s="48"/>
      <c r="G241" s="48"/>
      <c r="H241" s="49"/>
      <c r="I241" s="49"/>
      <c r="J241" s="49"/>
      <c r="K241" s="49"/>
      <c r="L241" s="49"/>
      <c r="M241" s="49"/>
      <c r="N241" s="49"/>
      <c r="O241" s="49"/>
      <c r="P241" s="49"/>
      <c r="Q241" s="49"/>
      <c r="R241" s="49"/>
      <c r="S241" s="49"/>
      <c r="T241" s="49"/>
      <c r="U241" s="49"/>
      <c r="V241" s="49"/>
      <c r="W241" s="49"/>
      <c r="X241" s="49"/>
      <c r="Y241" s="49"/>
      <c r="Z241" s="41"/>
      <c r="AA241" s="10"/>
    </row>
    <row r="242" spans="1:27" ht="6" customHeight="1" x14ac:dyDescent="0.3">
      <c r="A242" s="41"/>
      <c r="B242" s="51"/>
      <c r="C242" s="51"/>
      <c r="D242" s="51"/>
      <c r="E242" s="52"/>
      <c r="F242" s="53"/>
      <c r="G242" s="53"/>
      <c r="H242" s="53"/>
      <c r="I242" s="53"/>
      <c r="J242" s="53"/>
      <c r="K242" s="53"/>
      <c r="L242" s="53"/>
      <c r="M242" s="53"/>
      <c r="N242" s="53"/>
      <c r="O242" s="53"/>
      <c r="P242" s="53"/>
      <c r="Q242" s="53"/>
      <c r="R242" s="53"/>
      <c r="S242" s="53"/>
      <c r="T242" s="53"/>
      <c r="U242" s="53"/>
      <c r="V242" s="53"/>
      <c r="W242" s="53"/>
      <c r="X242" s="53"/>
      <c r="Y242" s="53"/>
      <c r="Z242" s="50"/>
      <c r="AA242" s="10"/>
    </row>
    <row r="243" spans="1:27" x14ac:dyDescent="0.3">
      <c r="A243" s="41"/>
      <c r="B243" s="118" t="str">
        <f>A41</f>
        <v>BAJA TENSIÓN (DESPUÉS DE TRANSFORMADORES) → DISTRIBUCIÓN EN EDAM</v>
      </c>
      <c r="C243" s="118"/>
      <c r="D243" s="118"/>
      <c r="E243" s="118"/>
      <c r="F243" s="49"/>
      <c r="G243" s="48"/>
      <c r="H243" s="48"/>
      <c r="I243" s="48"/>
      <c r="J243" s="48"/>
      <c r="K243" s="48"/>
      <c r="L243" s="48"/>
      <c r="M243" s="48"/>
      <c r="N243" s="49"/>
      <c r="O243" s="49"/>
      <c r="P243" s="49"/>
      <c r="Q243" s="49"/>
      <c r="R243" s="49"/>
      <c r="S243" s="49"/>
      <c r="T243" s="49"/>
      <c r="U243" s="49"/>
      <c r="V243" s="49"/>
      <c r="W243" s="49"/>
      <c r="X243" s="49"/>
      <c r="Y243" s="49"/>
      <c r="Z243" s="50"/>
      <c r="AA243" s="10"/>
    </row>
    <row r="244" spans="1:27" ht="6" customHeight="1" x14ac:dyDescent="0.3">
      <c r="A244" s="41"/>
      <c r="B244" s="51"/>
      <c r="C244" s="51"/>
      <c r="D244" s="51"/>
      <c r="E244" s="52"/>
      <c r="F244" s="53"/>
      <c r="G244" s="53"/>
      <c r="H244" s="53"/>
      <c r="I244" s="53"/>
      <c r="J244" s="53"/>
      <c r="K244" s="53"/>
      <c r="L244" s="53"/>
      <c r="M244" s="53"/>
      <c r="N244" s="53"/>
      <c r="O244" s="53"/>
      <c r="P244" s="53"/>
      <c r="Q244" s="53"/>
      <c r="R244" s="53"/>
      <c r="S244" s="53"/>
      <c r="T244" s="53"/>
      <c r="U244" s="53"/>
      <c r="V244" s="53"/>
      <c r="W244" s="53"/>
      <c r="X244" s="53"/>
      <c r="Y244" s="53"/>
      <c r="Z244" s="50"/>
      <c r="AA244" s="10"/>
    </row>
    <row r="245" spans="1:27" x14ac:dyDescent="0.3">
      <c r="A245" s="41"/>
      <c r="B245" s="118" t="str">
        <f>A73</f>
        <v>BAJA TENSIÓN (DESPUÉS DE TRANSFORMADORES) → DISTRIBUCIÓN EN ESTACIÓN DE BOMBEO EB2</v>
      </c>
      <c r="C245" s="118"/>
      <c r="D245" s="118"/>
      <c r="E245" s="118"/>
      <c r="F245" s="49"/>
      <c r="G245" s="48"/>
      <c r="H245" s="48"/>
      <c r="I245" s="48"/>
      <c r="J245" s="48"/>
      <c r="K245" s="48"/>
      <c r="L245" s="48"/>
      <c r="M245" s="48"/>
      <c r="N245" s="48"/>
      <c r="O245" s="48"/>
      <c r="P245" s="48"/>
      <c r="Q245" s="48"/>
      <c r="R245" s="48"/>
      <c r="S245" s="48"/>
      <c r="T245" s="49"/>
      <c r="U245" s="49"/>
      <c r="V245" s="49"/>
      <c r="W245" s="49"/>
      <c r="X245" s="49"/>
      <c r="Y245" s="49"/>
      <c r="Z245" s="50"/>
      <c r="AA245" s="10"/>
    </row>
    <row r="246" spans="1:27" ht="6" customHeight="1" x14ac:dyDescent="0.3">
      <c r="A246" s="41"/>
      <c r="B246" s="51"/>
      <c r="C246" s="51"/>
      <c r="D246" s="51"/>
      <c r="E246" s="52"/>
      <c r="F246" s="53"/>
      <c r="G246" s="53"/>
      <c r="H246" s="53"/>
      <c r="I246" s="53"/>
      <c r="J246" s="53"/>
      <c r="K246" s="53"/>
      <c r="L246" s="53"/>
      <c r="M246" s="53"/>
      <c r="N246" s="53"/>
      <c r="O246" s="53"/>
      <c r="P246" s="53"/>
      <c r="Q246" s="53"/>
      <c r="R246" s="53"/>
      <c r="S246" s="53"/>
      <c r="T246" s="53"/>
      <c r="U246" s="53"/>
      <c r="V246" s="53"/>
      <c r="W246" s="53"/>
      <c r="X246" s="53"/>
      <c r="Y246" s="53"/>
      <c r="Z246" s="50"/>
      <c r="AA246" s="10"/>
    </row>
    <row r="247" spans="1:27" x14ac:dyDescent="0.3">
      <c r="A247" s="41"/>
      <c r="B247" s="118" t="str">
        <f>A87</f>
        <v>ATERRIZADOS EN TODOS LOS SITIOS. SOLO SALAS O CUARTOS ELÉCTRICOS.</v>
      </c>
      <c r="C247" s="118"/>
      <c r="D247" s="118"/>
      <c r="E247" s="118"/>
      <c r="F247" s="48"/>
      <c r="G247" s="48"/>
      <c r="H247" s="48"/>
      <c r="I247" s="48"/>
      <c r="J247" s="48"/>
      <c r="K247" s="48"/>
      <c r="L247" s="48"/>
      <c r="M247" s="48"/>
      <c r="N247" s="48"/>
      <c r="O247" s="48"/>
      <c r="P247" s="48"/>
      <c r="Q247" s="48"/>
      <c r="R247" s="49"/>
      <c r="S247" s="49"/>
      <c r="T247" s="49"/>
      <c r="U247" s="49"/>
      <c r="V247" s="49"/>
      <c r="W247" s="49"/>
      <c r="X247" s="49"/>
      <c r="Y247" s="49"/>
      <c r="Z247" s="41"/>
      <c r="AA247" s="10"/>
    </row>
    <row r="248" spans="1:27" ht="6" customHeight="1" x14ac:dyDescent="0.3">
      <c r="A248" s="41"/>
      <c r="B248" s="51"/>
      <c r="C248" s="51"/>
      <c r="D248" s="51"/>
      <c r="E248" s="52"/>
      <c r="F248" s="53"/>
      <c r="G248" s="53"/>
      <c r="H248" s="53"/>
      <c r="I248" s="53"/>
      <c r="J248" s="53"/>
      <c r="K248" s="53"/>
      <c r="L248" s="53"/>
      <c r="M248" s="53"/>
      <c r="N248" s="53"/>
      <c r="O248" s="53"/>
      <c r="P248" s="53"/>
      <c r="Q248" s="53"/>
      <c r="R248" s="53"/>
      <c r="S248" s="53"/>
      <c r="T248" s="53"/>
      <c r="U248" s="53"/>
      <c r="V248" s="53"/>
      <c r="W248" s="53"/>
      <c r="X248" s="53"/>
      <c r="Y248" s="53"/>
      <c r="Z248" s="50"/>
      <c r="AA248" s="10"/>
    </row>
    <row r="249" spans="1:27" x14ac:dyDescent="0.3">
      <c r="A249" s="41"/>
      <c r="B249" s="118" t="str">
        <f>A89</f>
        <v>SISTEMA DE PARARRAYOS EN TODOS LOS SITIOS. SOLO SALAS O CUARTOS ELÉCTRICOS.</v>
      </c>
      <c r="C249" s="118"/>
      <c r="D249" s="118"/>
      <c r="E249" s="118"/>
      <c r="F249" s="49"/>
      <c r="G249" s="49"/>
      <c r="H249" s="49"/>
      <c r="I249" s="49"/>
      <c r="J249" s="49"/>
      <c r="K249" s="49"/>
      <c r="L249" s="49"/>
      <c r="M249" s="49"/>
      <c r="N249" s="49"/>
      <c r="O249" s="49"/>
      <c r="P249" s="49"/>
      <c r="Q249" s="49"/>
      <c r="R249" s="49"/>
      <c r="S249" s="48"/>
      <c r="T249" s="49"/>
      <c r="U249" s="49"/>
      <c r="V249" s="49"/>
      <c r="W249" s="49"/>
      <c r="X249" s="49"/>
      <c r="Y249" s="49"/>
      <c r="Z249" s="50"/>
      <c r="AA249" s="10"/>
    </row>
    <row r="250" spans="1:27" ht="6" customHeight="1" x14ac:dyDescent="0.3">
      <c r="A250" s="41"/>
      <c r="B250" s="51"/>
      <c r="C250" s="51"/>
      <c r="D250" s="51"/>
      <c r="E250" s="52"/>
      <c r="F250" s="53"/>
      <c r="G250" s="53"/>
      <c r="H250" s="53"/>
      <c r="I250" s="53"/>
      <c r="J250" s="53"/>
      <c r="K250" s="53"/>
      <c r="L250" s="53"/>
      <c r="M250" s="53"/>
      <c r="N250" s="53"/>
      <c r="O250" s="53"/>
      <c r="P250" s="53"/>
      <c r="Q250" s="53"/>
      <c r="R250" s="53"/>
      <c r="S250" s="53"/>
      <c r="T250" s="53"/>
      <c r="U250" s="53"/>
      <c r="V250" s="53"/>
      <c r="W250" s="53"/>
      <c r="X250" s="53"/>
      <c r="Y250" s="53"/>
      <c r="Z250" s="50"/>
      <c r="AA250" s="10"/>
    </row>
    <row r="251" spans="1:27" x14ac:dyDescent="0.3">
      <c r="A251" s="41"/>
      <c r="B251" s="119" t="str">
        <f>A91</f>
        <v xml:space="preserve"> (CANPO) ALIMENTADORES PRINCIPALES Y DERIVADOS EN BAJA TENSION (460VCA) EDAM</v>
      </c>
      <c r="C251" s="120"/>
      <c r="D251" s="120"/>
      <c r="E251" s="121"/>
      <c r="F251" s="48"/>
      <c r="G251" s="48"/>
      <c r="H251" s="48"/>
      <c r="I251" s="48"/>
      <c r="J251" s="48"/>
      <c r="K251" s="48"/>
      <c r="L251" s="48"/>
      <c r="M251" s="48"/>
      <c r="N251" s="48"/>
      <c r="O251" s="48"/>
      <c r="P251" s="48"/>
      <c r="Q251" s="48"/>
      <c r="R251" s="48"/>
      <c r="S251" s="48"/>
      <c r="T251" s="49"/>
      <c r="U251" s="49"/>
      <c r="V251" s="49"/>
      <c r="W251" s="49"/>
      <c r="X251" s="49"/>
      <c r="Y251" s="49"/>
      <c r="Z251" s="50"/>
      <c r="AA251" s="10"/>
    </row>
    <row r="252" spans="1:27" ht="6" customHeight="1" x14ac:dyDescent="0.3">
      <c r="A252" s="41"/>
      <c r="B252" s="51"/>
      <c r="C252" s="51"/>
      <c r="D252" s="51"/>
      <c r="E252" s="52"/>
      <c r="F252" s="53"/>
      <c r="G252" s="53"/>
      <c r="H252" s="53"/>
      <c r="I252" s="53"/>
      <c r="J252" s="53"/>
      <c r="K252" s="53"/>
      <c r="L252" s="53"/>
      <c r="M252" s="53"/>
      <c r="N252" s="53"/>
      <c r="O252" s="53"/>
      <c r="P252" s="53"/>
      <c r="Q252" s="53"/>
      <c r="R252" s="53"/>
      <c r="S252" s="53"/>
      <c r="T252" s="53"/>
      <c r="U252" s="53"/>
      <c r="V252" s="53"/>
      <c r="W252" s="53"/>
      <c r="X252" s="53"/>
      <c r="Y252" s="53"/>
      <c r="Z252" s="50"/>
      <c r="AA252" s="10"/>
    </row>
    <row r="253" spans="1:27" x14ac:dyDescent="0.3">
      <c r="A253" s="41"/>
      <c r="B253" s="119" t="str">
        <f>A207</f>
        <v>CFE SUMINISTRO 1- MEDIA TENSIÓN → EDAM + CÁRCAMO DE BOMBEO</v>
      </c>
      <c r="C253" s="120"/>
      <c r="D253" s="120"/>
      <c r="E253" s="121"/>
      <c r="F253" s="49"/>
      <c r="G253" s="49"/>
      <c r="H253" s="49"/>
      <c r="I253" s="49"/>
      <c r="J253" s="49"/>
      <c r="K253" s="48"/>
      <c r="L253" s="48"/>
      <c r="M253" s="49"/>
      <c r="N253" s="49"/>
      <c r="O253" s="49"/>
      <c r="P253" s="49"/>
      <c r="Q253" s="49"/>
      <c r="R253" s="49"/>
      <c r="S253" s="49"/>
      <c r="T253" s="49"/>
      <c r="U253" s="49"/>
      <c r="V253" s="49"/>
      <c r="W253" s="49"/>
      <c r="X253" s="49"/>
      <c r="Y253" s="49"/>
      <c r="Z253" s="50"/>
      <c r="AA253" s="10"/>
    </row>
    <row r="254" spans="1:27" ht="6" customHeight="1" x14ac:dyDescent="0.3">
      <c r="A254" s="41"/>
      <c r="B254" s="51"/>
      <c r="C254" s="51"/>
      <c r="D254" s="51"/>
      <c r="E254" s="52"/>
      <c r="F254" s="53"/>
      <c r="G254" s="53"/>
      <c r="H254" s="53"/>
      <c r="I254" s="53"/>
      <c r="J254" s="53"/>
      <c r="K254" s="53"/>
      <c r="L254" s="53"/>
      <c r="M254" s="53"/>
      <c r="N254" s="53"/>
      <c r="O254" s="53"/>
      <c r="P254" s="53"/>
      <c r="Q254" s="53"/>
      <c r="R254" s="53"/>
      <c r="S254" s="53"/>
      <c r="T254" s="53"/>
      <c r="U254" s="53"/>
      <c r="V254" s="53"/>
      <c r="W254" s="53"/>
      <c r="X254" s="53"/>
      <c r="Y254" s="53"/>
      <c r="Z254" s="50"/>
      <c r="AA254" s="10"/>
    </row>
    <row r="255" spans="1:27" x14ac:dyDescent="0.3">
      <c r="A255" s="41"/>
      <c r="B255" s="119" t="str">
        <f>A211</f>
        <v>UNIDAD FOTOVOLTAICA TE.</v>
      </c>
      <c r="C255" s="120"/>
      <c r="D255" s="120"/>
      <c r="E255" s="121"/>
      <c r="F255" s="49"/>
      <c r="G255" s="49"/>
      <c r="H255" s="49"/>
      <c r="I255" s="49"/>
      <c r="J255" s="49"/>
      <c r="K255" s="49"/>
      <c r="L255" s="49"/>
      <c r="M255" s="49"/>
      <c r="N255" s="49"/>
      <c r="O255" s="49"/>
      <c r="P255" s="49"/>
      <c r="Q255" s="49"/>
      <c r="R255" s="48"/>
      <c r="S255" s="49"/>
      <c r="T255" s="49"/>
      <c r="U255" s="49"/>
      <c r="V255" s="49"/>
      <c r="W255" s="49"/>
      <c r="X255" s="49"/>
      <c r="Y255" s="49"/>
      <c r="Z255" s="50"/>
      <c r="AA255" s="10"/>
    </row>
    <row r="256" spans="1:27" ht="6" customHeight="1" x14ac:dyDescent="0.3">
      <c r="A256" s="41"/>
      <c r="B256" s="51"/>
      <c r="C256" s="51"/>
      <c r="D256" s="51"/>
      <c r="E256" s="52"/>
      <c r="F256" s="53"/>
      <c r="G256" s="53"/>
      <c r="H256" s="53"/>
      <c r="I256" s="53"/>
      <c r="J256" s="53"/>
      <c r="K256" s="53"/>
      <c r="L256" s="53"/>
      <c r="M256" s="53"/>
      <c r="N256" s="53"/>
      <c r="O256" s="53"/>
      <c r="P256" s="53"/>
      <c r="Q256" s="53"/>
      <c r="R256" s="53"/>
      <c r="S256" s="53"/>
      <c r="T256" s="53"/>
      <c r="U256" s="53"/>
      <c r="V256" s="53"/>
      <c r="W256" s="53"/>
      <c r="X256" s="53"/>
      <c r="Y256" s="53"/>
      <c r="Z256" s="50"/>
      <c r="AA256" s="10"/>
    </row>
    <row r="257" spans="1:27" ht="6" customHeight="1" x14ac:dyDescent="0.3">
      <c r="A257" s="41"/>
      <c r="B257" s="51"/>
      <c r="C257" s="51"/>
      <c r="D257" s="51"/>
      <c r="E257" s="52"/>
      <c r="F257" s="53"/>
      <c r="G257" s="53"/>
      <c r="H257" s="53"/>
      <c r="I257" s="53"/>
      <c r="J257" s="53"/>
      <c r="K257" s="53"/>
      <c r="L257" s="53"/>
      <c r="M257" s="53"/>
      <c r="N257" s="53"/>
      <c r="O257" s="53"/>
      <c r="P257" s="53"/>
      <c r="Q257" s="53"/>
      <c r="R257" s="53"/>
      <c r="S257" s="53"/>
      <c r="T257" s="53"/>
      <c r="U257" s="53"/>
      <c r="V257" s="53"/>
      <c r="W257" s="53"/>
      <c r="X257" s="53"/>
      <c r="Y257" s="53"/>
      <c r="Z257" s="50"/>
      <c r="AA257" s="10"/>
    </row>
    <row r="258" spans="1:27" x14ac:dyDescent="0.3">
      <c r="A258" s="41"/>
      <c r="B258" s="119" t="str">
        <f>A214</f>
        <v>INSTRUMENTACION</v>
      </c>
      <c r="C258" s="120"/>
      <c r="D258" s="120"/>
      <c r="E258" s="121"/>
      <c r="F258" s="48"/>
      <c r="G258" s="48"/>
      <c r="H258" s="48"/>
      <c r="I258" s="48"/>
      <c r="J258" s="48"/>
      <c r="K258" s="48"/>
      <c r="L258" s="48"/>
      <c r="M258" s="48"/>
      <c r="N258" s="48"/>
      <c r="O258" s="48"/>
      <c r="P258" s="48"/>
      <c r="Q258" s="48"/>
      <c r="R258" s="48"/>
      <c r="S258" s="48"/>
      <c r="T258" s="48"/>
      <c r="U258" s="48"/>
      <c r="V258" s="48"/>
      <c r="W258" s="48"/>
      <c r="X258" s="48"/>
      <c r="Y258" s="48"/>
      <c r="Z258" s="50"/>
      <c r="AA258" s="10"/>
    </row>
    <row r="259" spans="1:27" ht="6" customHeight="1" x14ac:dyDescent="0.3">
      <c r="A259" s="41"/>
      <c r="B259" s="51"/>
      <c r="C259" s="51"/>
      <c r="D259" s="51"/>
      <c r="E259" s="52"/>
      <c r="F259" s="53"/>
      <c r="G259" s="53"/>
      <c r="H259" s="53"/>
      <c r="I259" s="53"/>
      <c r="J259" s="53"/>
      <c r="K259" s="53"/>
      <c r="L259" s="53"/>
      <c r="M259" s="53"/>
      <c r="N259" s="53"/>
      <c r="O259" s="53"/>
      <c r="P259" s="53"/>
      <c r="Q259" s="53"/>
      <c r="R259" s="53"/>
      <c r="S259" s="53"/>
      <c r="T259" s="53"/>
      <c r="U259" s="53"/>
      <c r="V259" s="53"/>
      <c r="W259" s="53"/>
      <c r="X259" s="53"/>
      <c r="Y259" s="53"/>
      <c r="Z259" s="50"/>
      <c r="AA259" s="10"/>
    </row>
    <row r="260" spans="1:27" ht="6" customHeight="1" x14ac:dyDescent="0.3">
      <c r="A260" s="41"/>
      <c r="B260" s="51"/>
      <c r="C260" s="51"/>
      <c r="D260" s="51"/>
      <c r="E260" s="51"/>
      <c r="F260" s="53"/>
      <c r="G260" s="53"/>
      <c r="H260" s="53"/>
      <c r="I260" s="53"/>
      <c r="J260" s="53"/>
      <c r="K260" s="53"/>
      <c r="L260" s="53"/>
      <c r="M260" s="53"/>
      <c r="N260" s="53"/>
      <c r="O260" s="53"/>
      <c r="P260" s="53"/>
      <c r="Q260" s="53"/>
      <c r="R260" s="53"/>
      <c r="S260" s="53"/>
      <c r="T260" s="53"/>
      <c r="U260" s="53"/>
      <c r="V260" s="53"/>
      <c r="W260" s="53"/>
      <c r="X260" s="53"/>
      <c r="Y260" s="53"/>
      <c r="Z260" s="41"/>
      <c r="AA260" s="10"/>
    </row>
    <row r="261" spans="1:27" x14ac:dyDescent="0.3">
      <c r="A261" s="41"/>
      <c r="B261" s="51"/>
      <c r="C261" s="51"/>
      <c r="D261" s="51"/>
      <c r="E261" s="51"/>
      <c r="F261" s="53"/>
      <c r="G261" s="53"/>
      <c r="H261" s="53"/>
      <c r="I261" s="53"/>
      <c r="J261" s="53"/>
      <c r="K261" s="53"/>
      <c r="L261" s="53"/>
      <c r="M261" s="53"/>
      <c r="N261" s="53"/>
      <c r="O261" s="53"/>
      <c r="P261" s="53"/>
      <c r="Q261" s="53"/>
      <c r="R261" s="53"/>
      <c r="S261" s="53"/>
      <c r="T261" s="53"/>
      <c r="U261" s="53"/>
      <c r="V261" s="53"/>
      <c r="W261" s="53"/>
      <c r="X261" s="53"/>
      <c r="Y261" s="53"/>
      <c r="Z261" s="50"/>
    </row>
    <row r="262" spans="1:27" ht="7.95" customHeight="1" thickBot="1" x14ac:dyDescent="0.35">
      <c r="A262" s="1"/>
      <c r="Z262" s="2"/>
    </row>
    <row r="263" spans="1:27" ht="16.2" x14ac:dyDescent="0.4">
      <c r="A263" s="1"/>
      <c r="B263" s="109" t="s">
        <v>11</v>
      </c>
      <c r="C263" s="110"/>
      <c r="D263" s="110"/>
      <c r="E263" s="110"/>
      <c r="F263" s="111"/>
      <c r="G263" s="25"/>
      <c r="H263" s="25"/>
      <c r="I263" s="25"/>
      <c r="J263" s="25"/>
      <c r="K263" s="25"/>
      <c r="L263" s="25"/>
      <c r="M263" s="25"/>
      <c r="N263" s="25"/>
      <c r="O263" s="25"/>
      <c r="P263" s="25"/>
      <c r="Q263" s="25"/>
      <c r="R263" s="25"/>
      <c r="S263" s="25"/>
      <c r="T263" s="25"/>
      <c r="U263" s="25"/>
      <c r="V263" s="25"/>
      <c r="W263" s="25"/>
      <c r="X263" s="25"/>
      <c r="Y263" s="25"/>
      <c r="Z263" s="2"/>
    </row>
    <row r="264" spans="1:27" x14ac:dyDescent="0.3">
      <c r="A264" s="1"/>
      <c r="B264" s="112"/>
      <c r="C264" s="113"/>
      <c r="D264" s="113"/>
      <c r="E264" s="113"/>
      <c r="F264" s="114"/>
      <c r="G264" s="24"/>
      <c r="H264" s="24"/>
      <c r="I264" s="24"/>
      <c r="J264" s="24"/>
      <c r="K264" s="24"/>
      <c r="L264" s="24"/>
      <c r="M264" s="24"/>
      <c r="N264" s="24"/>
      <c r="O264" s="24"/>
      <c r="P264" s="24"/>
      <c r="Q264" s="24"/>
      <c r="R264" s="24"/>
      <c r="S264" s="24"/>
      <c r="T264" s="24"/>
      <c r="U264" s="24"/>
      <c r="V264" s="24"/>
      <c r="W264" s="24"/>
      <c r="X264" s="24"/>
      <c r="Y264" s="24"/>
      <c r="Z264" s="2"/>
    </row>
    <row r="265" spans="1:27" x14ac:dyDescent="0.3">
      <c r="A265" s="1"/>
      <c r="B265" s="112"/>
      <c r="C265" s="113"/>
      <c r="D265" s="113"/>
      <c r="E265" s="113"/>
      <c r="F265" s="114"/>
      <c r="G265" s="24"/>
      <c r="H265" s="24"/>
      <c r="I265" s="24"/>
      <c r="J265" s="24"/>
      <c r="K265" s="24"/>
      <c r="L265" s="24"/>
      <c r="M265" s="24"/>
      <c r="N265" s="24"/>
      <c r="O265" s="24"/>
      <c r="P265" s="24"/>
      <c r="Q265" s="24"/>
      <c r="R265" s="24"/>
      <c r="S265" s="24"/>
      <c r="T265" s="24"/>
      <c r="U265" s="24"/>
      <c r="V265" s="24"/>
      <c r="W265" s="24"/>
      <c r="X265" s="24"/>
      <c r="Y265" s="24"/>
      <c r="Z265" s="2"/>
    </row>
    <row r="266" spans="1:27" x14ac:dyDescent="0.3">
      <c r="A266" s="1"/>
      <c r="B266" s="112"/>
      <c r="C266" s="113"/>
      <c r="D266" s="113"/>
      <c r="E266" s="113"/>
      <c r="F266" s="114"/>
      <c r="G266" s="24"/>
      <c r="H266" s="24"/>
      <c r="I266" s="24"/>
      <c r="J266" s="24"/>
      <c r="K266" s="24"/>
      <c r="L266" s="24"/>
      <c r="M266" s="24"/>
      <c r="N266" s="24"/>
      <c r="O266" s="24"/>
      <c r="P266" s="24"/>
      <c r="Q266" s="24"/>
      <c r="R266" s="24"/>
      <c r="S266" s="24"/>
      <c r="T266" s="24"/>
      <c r="U266" s="24"/>
      <c r="V266" s="24"/>
      <c r="W266" s="24"/>
      <c r="X266" s="24"/>
      <c r="Y266" s="24"/>
      <c r="Z266" s="2"/>
    </row>
    <row r="267" spans="1:27" x14ac:dyDescent="0.3">
      <c r="A267" s="1"/>
      <c r="B267" s="112"/>
      <c r="C267" s="113"/>
      <c r="D267" s="113"/>
      <c r="E267" s="113"/>
      <c r="F267" s="114"/>
      <c r="G267" s="24"/>
      <c r="H267" s="24"/>
      <c r="I267" s="24"/>
      <c r="J267" s="24"/>
      <c r="K267" s="24"/>
      <c r="L267" s="24"/>
      <c r="M267" s="24"/>
      <c r="N267" s="24"/>
      <c r="O267" s="24"/>
      <c r="P267" s="24"/>
      <c r="Q267" s="24"/>
      <c r="R267" s="24"/>
      <c r="S267" s="24"/>
      <c r="T267" s="24"/>
      <c r="U267" s="24"/>
      <c r="V267" s="24"/>
      <c r="W267" s="24"/>
      <c r="X267" s="24"/>
      <c r="Y267" s="24"/>
      <c r="Z267" s="2"/>
    </row>
    <row r="268" spans="1:27" x14ac:dyDescent="0.3">
      <c r="A268" s="1"/>
      <c r="B268" s="112"/>
      <c r="C268" s="113"/>
      <c r="D268" s="113"/>
      <c r="E268" s="113"/>
      <c r="F268" s="114"/>
      <c r="G268" s="24"/>
      <c r="H268" s="24"/>
      <c r="I268" s="24"/>
      <c r="J268" s="24"/>
      <c r="K268" s="24"/>
      <c r="L268" s="24"/>
      <c r="M268" s="24"/>
      <c r="N268" s="24"/>
      <c r="O268" s="24"/>
      <c r="P268" s="24"/>
      <c r="Q268" s="24"/>
      <c r="R268" s="24"/>
      <c r="S268" s="24"/>
      <c r="T268" s="24"/>
      <c r="U268" s="24"/>
      <c r="V268" s="24"/>
      <c r="W268" s="24"/>
      <c r="X268" s="24"/>
      <c r="Y268" s="24"/>
      <c r="Z268" s="2"/>
    </row>
    <row r="269" spans="1:27" x14ac:dyDescent="0.3">
      <c r="A269" s="1"/>
      <c r="B269" s="112"/>
      <c r="C269" s="113"/>
      <c r="D269" s="113"/>
      <c r="E269" s="113"/>
      <c r="F269" s="114"/>
      <c r="G269" s="24"/>
      <c r="H269" s="24"/>
      <c r="I269" s="24"/>
      <c r="J269" s="24"/>
      <c r="K269" s="24"/>
      <c r="L269" s="24"/>
      <c r="M269" s="24"/>
      <c r="N269" s="24"/>
      <c r="O269" s="24"/>
      <c r="P269" s="24"/>
      <c r="Q269" s="24"/>
      <c r="R269" s="24"/>
      <c r="S269" s="24"/>
      <c r="T269" s="24"/>
      <c r="U269" s="24"/>
      <c r="V269" s="24"/>
      <c r="W269" s="24"/>
      <c r="X269" s="24"/>
      <c r="Y269" s="24"/>
      <c r="Z269" s="2"/>
    </row>
    <row r="270" spans="1:27" x14ac:dyDescent="0.3">
      <c r="A270" s="1"/>
      <c r="B270" s="112"/>
      <c r="C270" s="113"/>
      <c r="D270" s="113"/>
      <c r="E270" s="113"/>
      <c r="F270" s="114"/>
      <c r="G270" s="24"/>
      <c r="H270" s="24"/>
      <c r="I270" s="24"/>
      <c r="J270" s="24"/>
      <c r="K270" s="24"/>
      <c r="L270" s="24"/>
      <c r="M270" s="24"/>
      <c r="N270" s="24"/>
      <c r="O270" s="24"/>
      <c r="P270" s="24"/>
      <c r="Q270" s="24"/>
      <c r="R270" s="24"/>
      <c r="S270" s="24"/>
      <c r="T270" s="24"/>
      <c r="U270" s="24"/>
      <c r="V270" s="24"/>
      <c r="W270" s="24"/>
      <c r="X270" s="24"/>
      <c r="Y270" s="24"/>
      <c r="Z270" s="2"/>
    </row>
    <row r="271" spans="1:27" ht="15" thickBot="1" x14ac:dyDescent="0.35">
      <c r="A271" s="1"/>
      <c r="B271" s="115"/>
      <c r="C271" s="116"/>
      <c r="D271" s="116"/>
      <c r="E271" s="116"/>
      <c r="F271" s="117"/>
      <c r="G271" s="24"/>
      <c r="H271" s="24"/>
      <c r="I271" s="24"/>
      <c r="J271" s="24"/>
      <c r="K271" s="24"/>
      <c r="L271" s="24"/>
      <c r="M271" s="24"/>
      <c r="N271" s="24"/>
      <c r="O271" s="24"/>
      <c r="P271" s="24"/>
      <c r="Q271" s="24"/>
      <c r="R271" s="24"/>
      <c r="S271" s="24"/>
      <c r="T271" s="24"/>
      <c r="U271" s="24"/>
      <c r="V271" s="24"/>
      <c r="W271" s="24"/>
      <c r="X271" s="24"/>
      <c r="Y271" s="24"/>
      <c r="Z271" s="2"/>
    </row>
    <row r="272" spans="1:27" ht="7.95" customHeight="1" thickBot="1" x14ac:dyDescent="0.35">
      <c r="A272" s="1"/>
      <c r="B272" s="12"/>
      <c r="C272" s="12"/>
      <c r="D272" s="12"/>
      <c r="E272" s="12"/>
      <c r="F272" s="12"/>
      <c r="L272" s="12"/>
      <c r="Z272" s="2"/>
    </row>
    <row r="273" spans="1:26" ht="16.2" x14ac:dyDescent="0.4">
      <c r="A273" s="1"/>
      <c r="B273" s="109" t="s">
        <v>5</v>
      </c>
      <c r="C273" s="110"/>
      <c r="D273" s="110"/>
      <c r="E273" s="110"/>
      <c r="F273" s="111"/>
      <c r="G273" s="25"/>
      <c r="H273" s="25"/>
      <c r="I273" s="25"/>
      <c r="J273" s="25"/>
      <c r="K273" s="25"/>
      <c r="L273" s="25"/>
      <c r="M273" s="25"/>
      <c r="N273" s="25"/>
      <c r="O273" s="25"/>
      <c r="P273" s="25"/>
      <c r="Q273" s="25"/>
      <c r="R273" s="25"/>
      <c r="S273" s="25"/>
      <c r="T273" s="25"/>
      <c r="U273" s="25"/>
      <c r="V273" s="25"/>
      <c r="W273" s="25"/>
      <c r="X273" s="25"/>
      <c r="Y273" s="25"/>
      <c r="Z273" s="2"/>
    </row>
    <row r="274" spans="1:26" ht="14.25" customHeight="1" x14ac:dyDescent="0.3">
      <c r="A274" s="1"/>
      <c r="B274" s="75" t="s">
        <v>322</v>
      </c>
      <c r="C274" s="75"/>
      <c r="D274" s="75"/>
      <c r="E274" s="75"/>
      <c r="F274" s="75"/>
      <c r="G274" s="22"/>
      <c r="H274" s="22"/>
      <c r="I274" s="22"/>
      <c r="J274" s="22"/>
      <c r="K274" s="22"/>
      <c r="L274" s="22"/>
      <c r="M274" s="22"/>
      <c r="N274" s="22"/>
      <c r="O274" s="22"/>
      <c r="P274" s="22"/>
      <c r="Q274" s="22"/>
      <c r="R274" s="22"/>
      <c r="S274" s="22"/>
      <c r="T274" s="22"/>
      <c r="U274" s="22"/>
      <c r="V274" s="22"/>
      <c r="W274" s="22"/>
      <c r="X274" s="22"/>
      <c r="Y274" s="22"/>
      <c r="Z274" s="2"/>
    </row>
    <row r="275" spans="1:26" x14ac:dyDescent="0.3">
      <c r="A275" s="1"/>
      <c r="B275" s="75"/>
      <c r="C275" s="75"/>
      <c r="D275" s="75"/>
      <c r="E275" s="75"/>
      <c r="F275" s="75"/>
      <c r="G275" s="22"/>
      <c r="H275" s="22"/>
      <c r="I275" s="22"/>
      <c r="J275" s="22"/>
      <c r="K275" s="22"/>
      <c r="L275" s="22"/>
      <c r="M275" s="22"/>
      <c r="N275" s="22"/>
      <c r="O275" s="22"/>
      <c r="P275" s="22"/>
      <c r="Q275" s="22"/>
      <c r="R275" s="22"/>
      <c r="S275" s="22"/>
      <c r="T275" s="22"/>
      <c r="U275" s="22"/>
      <c r="V275" s="22"/>
      <c r="W275" s="22"/>
      <c r="X275" s="22"/>
      <c r="Y275" s="22"/>
      <c r="Z275" s="2"/>
    </row>
    <row r="276" spans="1:26" x14ac:dyDescent="0.3">
      <c r="A276" s="1"/>
      <c r="B276" s="75"/>
      <c r="C276" s="75"/>
      <c r="D276" s="75"/>
      <c r="E276" s="75"/>
      <c r="F276" s="75"/>
      <c r="G276" s="19"/>
      <c r="H276" s="19"/>
      <c r="I276" s="19"/>
      <c r="J276" s="19"/>
      <c r="K276" s="19"/>
      <c r="L276" s="19"/>
      <c r="M276" s="19"/>
      <c r="N276" s="19"/>
      <c r="O276" s="19"/>
      <c r="P276" s="19"/>
      <c r="Q276" s="19"/>
      <c r="R276" s="19"/>
      <c r="S276" s="19"/>
      <c r="T276" s="19"/>
      <c r="U276" s="19"/>
      <c r="V276" s="19"/>
      <c r="W276" s="19"/>
      <c r="X276" s="19"/>
      <c r="Y276" s="19"/>
      <c r="Z276" s="2"/>
    </row>
    <row r="277" spans="1:26" ht="14.55" customHeight="1" x14ac:dyDescent="0.3">
      <c r="A277" s="1"/>
      <c r="B277" s="75"/>
      <c r="C277" s="75"/>
      <c r="D277" s="75"/>
      <c r="E277" s="75"/>
      <c r="F277" s="75"/>
      <c r="G277" s="19"/>
      <c r="H277" s="19"/>
      <c r="I277" s="19"/>
      <c r="J277" s="19"/>
      <c r="K277" s="19"/>
      <c r="L277" s="19"/>
      <c r="M277" s="19"/>
      <c r="N277" s="19"/>
      <c r="O277" s="19"/>
      <c r="P277" s="19"/>
      <c r="Q277" s="19"/>
      <c r="R277" s="19"/>
      <c r="S277" s="19"/>
      <c r="T277" s="19"/>
      <c r="U277" s="19"/>
      <c r="V277" s="19"/>
      <c r="W277" s="19"/>
      <c r="X277" s="19"/>
      <c r="Y277" s="19"/>
      <c r="Z277" s="2"/>
    </row>
    <row r="278" spans="1:26" ht="14.55" customHeight="1" x14ac:dyDescent="0.3">
      <c r="A278" s="1"/>
      <c r="B278" s="75"/>
      <c r="C278" s="75"/>
      <c r="D278" s="75"/>
      <c r="E278" s="75"/>
      <c r="F278" s="75"/>
      <c r="G278" s="19"/>
      <c r="H278" s="19"/>
      <c r="I278" s="19"/>
      <c r="J278" s="19"/>
      <c r="K278" s="19"/>
      <c r="L278" s="19"/>
      <c r="M278" s="19"/>
      <c r="N278" s="19"/>
      <c r="O278" s="19"/>
      <c r="P278" s="19"/>
      <c r="Q278" s="19"/>
      <c r="R278" s="19"/>
      <c r="S278" s="19"/>
      <c r="T278" s="19"/>
      <c r="U278" s="19"/>
      <c r="V278" s="19"/>
      <c r="W278" s="19"/>
      <c r="X278" s="19"/>
      <c r="Y278" s="19"/>
      <c r="Z278" s="2"/>
    </row>
    <row r="279" spans="1:26" ht="14.55" customHeight="1" x14ac:dyDescent="0.3">
      <c r="A279" s="1"/>
      <c r="B279" s="75"/>
      <c r="C279" s="75"/>
      <c r="D279" s="75"/>
      <c r="E279" s="75"/>
      <c r="F279" s="75"/>
      <c r="G279" s="19"/>
      <c r="H279" s="19"/>
      <c r="I279" s="19"/>
      <c r="J279" s="19"/>
      <c r="K279" s="19"/>
      <c r="L279" s="19"/>
      <c r="M279" s="19"/>
      <c r="N279" s="19"/>
      <c r="O279" s="19"/>
      <c r="P279" s="19"/>
      <c r="Q279" s="19"/>
      <c r="R279" s="19"/>
      <c r="S279" s="19"/>
      <c r="T279" s="19"/>
      <c r="U279" s="19"/>
      <c r="V279" s="19"/>
      <c r="W279" s="19"/>
      <c r="X279" s="19"/>
      <c r="Y279" s="19"/>
      <c r="Z279" s="2"/>
    </row>
    <row r="280" spans="1:26" ht="14.55" customHeight="1" x14ac:dyDescent="0.3">
      <c r="A280" s="1"/>
      <c r="B280" s="75"/>
      <c r="C280" s="75"/>
      <c r="D280" s="75"/>
      <c r="E280" s="75"/>
      <c r="F280" s="75"/>
      <c r="G280" s="19"/>
      <c r="H280" s="19"/>
      <c r="I280" s="19"/>
      <c r="J280" s="19"/>
      <c r="K280" s="19"/>
      <c r="L280" s="19"/>
      <c r="M280" s="19"/>
      <c r="N280" s="19"/>
      <c r="O280" s="19"/>
      <c r="P280" s="19"/>
      <c r="Q280" s="19"/>
      <c r="R280" s="19"/>
      <c r="S280" s="19"/>
      <c r="T280" s="19"/>
      <c r="U280" s="19"/>
      <c r="V280" s="19"/>
      <c r="W280" s="19"/>
      <c r="X280" s="19"/>
      <c r="Y280" s="19"/>
      <c r="Z280" s="2"/>
    </row>
    <row r="281" spans="1:26" ht="24.75" customHeight="1" x14ac:dyDescent="0.3">
      <c r="A281" s="1"/>
      <c r="B281" s="75"/>
      <c r="C281" s="75"/>
      <c r="D281" s="75"/>
      <c r="E281" s="75"/>
      <c r="F281" s="75"/>
      <c r="G281" s="19"/>
      <c r="H281" s="19"/>
      <c r="I281" s="19"/>
      <c r="J281" s="19"/>
      <c r="K281" s="19"/>
      <c r="L281" s="19"/>
      <c r="M281" s="19"/>
      <c r="N281" s="19"/>
      <c r="O281" s="19"/>
      <c r="P281" s="19"/>
      <c r="Q281" s="19"/>
      <c r="R281" s="19"/>
      <c r="S281" s="19"/>
      <c r="T281" s="19"/>
      <c r="U281" s="19"/>
      <c r="V281" s="19"/>
      <c r="W281" s="19"/>
      <c r="X281" s="19"/>
      <c r="Y281" s="19"/>
      <c r="Z281" s="2"/>
    </row>
    <row r="282" spans="1:26" ht="26.25" customHeight="1" x14ac:dyDescent="0.3">
      <c r="A282" s="1"/>
      <c r="B282" s="75"/>
      <c r="C282" s="75"/>
      <c r="D282" s="75"/>
      <c r="E282" s="75"/>
      <c r="F282" s="75"/>
      <c r="G282" s="19"/>
      <c r="H282" s="19"/>
      <c r="I282" s="19"/>
      <c r="J282" s="19"/>
      <c r="K282" s="19"/>
      <c r="L282" s="19"/>
      <c r="M282" s="19"/>
      <c r="N282" s="19"/>
      <c r="O282" s="19"/>
      <c r="P282" s="19"/>
      <c r="Q282" s="19"/>
      <c r="R282" s="19"/>
      <c r="S282" s="19"/>
      <c r="T282" s="19"/>
      <c r="U282" s="19"/>
      <c r="V282" s="19"/>
      <c r="W282" s="19"/>
      <c r="X282" s="19"/>
      <c r="Y282" s="19"/>
      <c r="Z282" s="2"/>
    </row>
    <row r="283" spans="1:26" ht="15" thickBot="1" x14ac:dyDescent="0.35">
      <c r="A283" s="1"/>
      <c r="B283" s="75"/>
      <c r="C283" s="75"/>
      <c r="D283" s="75"/>
      <c r="E283" s="75"/>
      <c r="F283" s="75"/>
      <c r="G283" s="2"/>
      <c r="H283" s="2"/>
      <c r="I283" s="2"/>
      <c r="J283" s="2"/>
      <c r="K283" s="2"/>
      <c r="L283" s="4"/>
      <c r="M283" s="2"/>
      <c r="N283" s="2"/>
      <c r="O283" s="2"/>
      <c r="P283" s="2"/>
      <c r="Q283" s="2"/>
      <c r="R283" s="2"/>
      <c r="S283" s="2"/>
      <c r="T283" s="2"/>
      <c r="U283" s="2"/>
      <c r="V283" s="2"/>
      <c r="W283" s="2"/>
      <c r="X283" s="2"/>
      <c r="Y283" s="2"/>
      <c r="Z283" s="2"/>
    </row>
    <row r="284" spans="1:26" ht="15" thickBot="1" x14ac:dyDescent="0.35">
      <c r="A284" s="3"/>
      <c r="B284" s="75"/>
      <c r="C284" s="75"/>
      <c r="D284" s="75"/>
      <c r="E284" s="75"/>
      <c r="F284" s="75"/>
      <c r="G284" s="5"/>
      <c r="H284" s="5"/>
      <c r="I284" s="5"/>
      <c r="J284" s="5"/>
      <c r="K284" s="5"/>
      <c r="L284" s="5"/>
      <c r="M284" s="5"/>
      <c r="N284" s="5"/>
      <c r="O284" s="5"/>
      <c r="P284" s="5"/>
      <c r="Q284" s="5"/>
      <c r="R284" s="5"/>
      <c r="S284" s="5"/>
      <c r="T284" s="5"/>
      <c r="U284" s="5"/>
      <c r="V284" s="5"/>
      <c r="W284" s="5"/>
      <c r="X284" s="5"/>
      <c r="Y284" s="5"/>
      <c r="Z284" s="4"/>
    </row>
    <row r="285" spans="1:26" x14ac:dyDescent="0.3">
      <c r="B285" s="75"/>
      <c r="C285" s="75"/>
      <c r="D285" s="75"/>
      <c r="E285" s="75"/>
      <c r="F285" s="75"/>
    </row>
    <row r="286" spans="1:26" ht="15.6" x14ac:dyDescent="0.3">
      <c r="B286" s="75"/>
      <c r="C286" s="75"/>
      <c r="D286" s="75"/>
      <c r="E286" s="75"/>
      <c r="F286" s="75"/>
      <c r="G286" s="20"/>
      <c r="H286" s="20"/>
      <c r="I286" s="20"/>
      <c r="J286" s="20"/>
      <c r="K286" s="20"/>
      <c r="L286" s="20"/>
      <c r="M286" s="20"/>
      <c r="N286" s="20"/>
      <c r="O286" s="20"/>
      <c r="P286" s="20"/>
      <c r="Q286" s="20"/>
      <c r="R286" s="20"/>
      <c r="S286" s="20"/>
      <c r="T286" s="20"/>
      <c r="U286" s="20"/>
      <c r="V286" s="20"/>
      <c r="W286" s="20"/>
      <c r="X286" s="20"/>
      <c r="Y286" s="20"/>
    </row>
    <row r="287" spans="1:26" x14ac:dyDescent="0.3">
      <c r="B287" s="75"/>
      <c r="C287" s="75"/>
      <c r="D287" s="75"/>
      <c r="E287" s="75"/>
      <c r="F287" s="75"/>
    </row>
    <row r="288" spans="1:26" ht="14.55" customHeight="1" x14ac:dyDescent="0.3">
      <c r="B288" s="75"/>
      <c r="C288" s="75"/>
      <c r="D288" s="75"/>
      <c r="E288" s="75"/>
      <c r="F288" s="75"/>
      <c r="G288" s="21"/>
      <c r="H288" s="21"/>
      <c r="I288" s="21"/>
      <c r="J288" s="21"/>
      <c r="K288" s="21"/>
      <c r="L288" s="21"/>
      <c r="M288" s="21"/>
      <c r="N288" s="21"/>
      <c r="O288" s="21"/>
      <c r="P288" s="21"/>
      <c r="Q288" s="21"/>
      <c r="R288" s="21"/>
      <c r="S288" s="21"/>
      <c r="T288" s="21"/>
      <c r="U288" s="21"/>
      <c r="V288" s="21"/>
      <c r="W288" s="21"/>
      <c r="X288" s="21"/>
      <c r="Y288" s="21"/>
      <c r="Z288" s="11"/>
    </row>
    <row r="289" spans="1:26" x14ac:dyDescent="0.3">
      <c r="B289" s="75"/>
      <c r="C289" s="75"/>
      <c r="D289" s="75"/>
      <c r="E289" s="75"/>
      <c r="F289" s="75"/>
      <c r="G289" s="21"/>
      <c r="H289" s="21"/>
      <c r="I289" s="21"/>
      <c r="J289" s="21"/>
      <c r="K289" s="21"/>
      <c r="L289" s="21"/>
      <c r="M289" s="21"/>
      <c r="N289" s="21"/>
      <c r="O289" s="21"/>
      <c r="P289" s="21"/>
      <c r="Q289" s="21"/>
      <c r="R289" s="21"/>
      <c r="S289" s="21"/>
      <c r="T289" s="21"/>
      <c r="U289" s="21"/>
      <c r="V289" s="21"/>
      <c r="W289" s="21"/>
      <c r="X289" s="21"/>
      <c r="Y289" s="21"/>
      <c r="Z289" s="11"/>
    </row>
    <row r="290" spans="1:26" x14ac:dyDescent="0.3">
      <c r="B290" s="75"/>
      <c r="C290" s="75"/>
      <c r="D290" s="75"/>
      <c r="E290" s="75"/>
      <c r="F290" s="75"/>
      <c r="G290" s="21"/>
      <c r="H290" s="21"/>
      <c r="I290" s="21"/>
      <c r="J290" s="21"/>
      <c r="K290" s="21"/>
      <c r="L290" s="21"/>
      <c r="M290" s="21"/>
      <c r="N290" s="21"/>
      <c r="O290" s="21"/>
      <c r="P290" s="21"/>
      <c r="Q290" s="21"/>
      <c r="R290" s="21"/>
      <c r="S290" s="21"/>
      <c r="T290" s="21"/>
      <c r="U290" s="21"/>
      <c r="V290" s="21"/>
      <c r="W290" s="21"/>
      <c r="X290" s="21"/>
      <c r="Y290" s="21"/>
      <c r="Z290" s="11"/>
    </row>
    <row r="291" spans="1:26" x14ac:dyDescent="0.3">
      <c r="B291" s="75"/>
      <c r="C291" s="75"/>
      <c r="D291" s="75"/>
      <c r="E291" s="75"/>
      <c r="F291" s="75"/>
      <c r="G291" s="21"/>
      <c r="H291" s="21"/>
      <c r="I291" s="21"/>
      <c r="J291" s="21"/>
      <c r="K291" s="21"/>
      <c r="L291" s="21"/>
      <c r="M291" s="21"/>
      <c r="N291" s="21"/>
      <c r="O291" s="21"/>
      <c r="P291" s="21"/>
      <c r="Q291" s="21"/>
      <c r="R291" s="21"/>
      <c r="S291" s="21"/>
      <c r="T291" s="21"/>
      <c r="U291" s="21"/>
      <c r="V291" s="21"/>
      <c r="W291" s="21"/>
      <c r="X291" s="21"/>
      <c r="Y291" s="21"/>
      <c r="Z291" s="11"/>
    </row>
    <row r="292" spans="1:26" x14ac:dyDescent="0.3">
      <c r="B292" s="75"/>
      <c r="C292" s="75"/>
      <c r="D292" s="75"/>
      <c r="E292" s="75"/>
      <c r="F292" s="75"/>
      <c r="G292" s="21"/>
      <c r="H292" s="21"/>
      <c r="I292" s="21"/>
      <c r="J292" s="21"/>
      <c r="K292" s="21"/>
      <c r="L292" s="21"/>
      <c r="M292" s="21"/>
      <c r="N292" s="21"/>
      <c r="O292" s="21"/>
      <c r="P292" s="21"/>
      <c r="Q292" s="21"/>
      <c r="R292" s="21"/>
      <c r="S292" s="21"/>
      <c r="T292" s="21"/>
      <c r="U292" s="21"/>
      <c r="V292" s="21"/>
      <c r="W292" s="21"/>
      <c r="X292" s="21"/>
      <c r="Y292" s="21"/>
      <c r="Z292" s="11"/>
    </row>
    <row r="293" spans="1:26" x14ac:dyDescent="0.3">
      <c r="B293" s="75"/>
      <c r="C293" s="75"/>
      <c r="D293" s="75"/>
      <c r="E293" s="75"/>
      <c r="F293" s="75"/>
      <c r="G293" s="11"/>
      <c r="H293" s="11"/>
      <c r="I293" s="11"/>
      <c r="J293" s="11"/>
      <c r="K293" s="11"/>
      <c r="L293" s="11"/>
      <c r="M293" s="11"/>
      <c r="N293" s="11"/>
      <c r="O293" s="11"/>
      <c r="P293" s="11"/>
      <c r="Q293" s="11"/>
      <c r="R293" s="11"/>
      <c r="S293" s="11"/>
      <c r="T293" s="11"/>
      <c r="U293" s="11"/>
      <c r="V293" s="11"/>
      <c r="W293" s="11"/>
      <c r="X293" s="11"/>
      <c r="Y293" s="11"/>
      <c r="Z293" s="11"/>
    </row>
    <row r="294" spans="1:26" x14ac:dyDescent="0.3">
      <c r="B294" s="75"/>
      <c r="C294" s="75"/>
      <c r="D294" s="75"/>
      <c r="E294" s="75"/>
      <c r="F294" s="75"/>
    </row>
    <row r="295" spans="1:26" ht="44.55" customHeight="1" x14ac:dyDescent="0.3">
      <c r="A295" s="13"/>
      <c r="B295" s="75"/>
      <c r="C295" s="75"/>
      <c r="D295" s="75"/>
      <c r="E295" s="75"/>
      <c r="F295" s="75"/>
      <c r="G295" s="15"/>
      <c r="H295" s="15"/>
      <c r="I295" s="15"/>
      <c r="J295" s="15"/>
      <c r="K295" s="15"/>
      <c r="L295" s="15"/>
      <c r="M295" s="15"/>
      <c r="N295" s="15"/>
      <c r="O295" s="15"/>
      <c r="P295" s="15"/>
      <c r="Q295" s="15"/>
      <c r="R295" s="15"/>
      <c r="S295" s="15"/>
      <c r="T295" s="15"/>
      <c r="U295" s="15"/>
      <c r="V295" s="15"/>
      <c r="W295" s="15"/>
      <c r="X295" s="15"/>
      <c r="Y295" s="15"/>
    </row>
    <row r="296" spans="1:26" x14ac:dyDescent="0.3">
      <c r="B296" s="75"/>
      <c r="C296" s="75"/>
      <c r="D296" s="75"/>
      <c r="E296" s="75"/>
      <c r="F296" s="75"/>
    </row>
    <row r="297" spans="1:26" ht="13.95" customHeight="1" x14ac:dyDescent="0.3">
      <c r="A297" s="13"/>
      <c r="B297" s="75"/>
      <c r="C297" s="75"/>
      <c r="D297" s="75"/>
      <c r="E297" s="75"/>
      <c r="F297" s="75"/>
      <c r="G297" s="15"/>
      <c r="H297" s="15"/>
      <c r="I297" s="15"/>
      <c r="J297" s="15"/>
      <c r="K297" s="15"/>
      <c r="L297" s="15"/>
      <c r="M297" s="15"/>
      <c r="N297" s="15"/>
      <c r="O297" s="15"/>
      <c r="P297" s="15"/>
      <c r="Q297" s="15"/>
      <c r="R297" s="15"/>
      <c r="S297" s="15"/>
      <c r="T297" s="15"/>
      <c r="U297" s="15"/>
      <c r="V297" s="15"/>
      <c r="W297" s="15"/>
      <c r="X297" s="15"/>
      <c r="Y297" s="15"/>
    </row>
    <row r="298" spans="1:26" x14ac:dyDescent="0.3">
      <c r="B298" s="75"/>
      <c r="C298" s="75"/>
      <c r="D298" s="75"/>
      <c r="E298" s="75"/>
      <c r="F298" s="75"/>
    </row>
    <row r="299" spans="1:26" x14ac:dyDescent="0.3">
      <c r="A299" s="13"/>
      <c r="B299" s="75"/>
      <c r="C299" s="75"/>
      <c r="D299" s="75"/>
      <c r="E299" s="75"/>
      <c r="F299" s="75"/>
      <c r="G299" s="15"/>
      <c r="H299" s="15"/>
      <c r="I299" s="15"/>
      <c r="J299" s="15"/>
      <c r="K299" s="15"/>
      <c r="L299" s="15"/>
      <c r="M299" s="15"/>
      <c r="N299" s="15"/>
      <c r="O299" s="15"/>
      <c r="P299" s="15"/>
      <c r="Q299" s="15"/>
      <c r="R299" s="15"/>
      <c r="S299" s="15"/>
      <c r="T299" s="15"/>
      <c r="U299" s="15"/>
      <c r="V299" s="15"/>
      <c r="W299" s="15"/>
      <c r="X299" s="15"/>
      <c r="Y299" s="15"/>
    </row>
    <row r="300" spans="1:26" x14ac:dyDescent="0.3">
      <c r="A300" s="13"/>
      <c r="B300" s="75"/>
      <c r="C300" s="75"/>
      <c r="D300" s="75"/>
      <c r="E300" s="75"/>
      <c r="F300" s="75"/>
      <c r="G300" s="15"/>
      <c r="H300" s="15"/>
      <c r="I300" s="15"/>
      <c r="J300" s="15"/>
      <c r="K300" s="15"/>
      <c r="L300" s="15"/>
      <c r="M300" s="15"/>
      <c r="N300" s="15"/>
      <c r="O300" s="15"/>
      <c r="P300" s="15"/>
      <c r="Q300" s="15"/>
      <c r="R300" s="15"/>
      <c r="S300" s="15"/>
      <c r="T300" s="15"/>
      <c r="U300" s="15"/>
      <c r="V300" s="15"/>
      <c r="W300" s="15"/>
      <c r="X300" s="15"/>
      <c r="Y300" s="15"/>
    </row>
    <row r="301" spans="1:26" x14ac:dyDescent="0.3">
      <c r="B301" s="75"/>
      <c r="C301" s="75"/>
      <c r="D301" s="75"/>
      <c r="E301" s="75"/>
      <c r="F301" s="75"/>
    </row>
    <row r="302" spans="1:26" x14ac:dyDescent="0.3">
      <c r="B302" s="75"/>
      <c r="C302" s="75"/>
      <c r="D302" s="75"/>
      <c r="E302" s="75"/>
      <c r="F302" s="75"/>
    </row>
    <row r="303" spans="1:26" x14ac:dyDescent="0.3">
      <c r="A303" s="13"/>
      <c r="B303" s="75"/>
      <c r="C303" s="75"/>
      <c r="D303" s="75"/>
      <c r="E303" s="75"/>
      <c r="F303" s="75"/>
    </row>
    <row r="304" spans="1:26" ht="27" customHeight="1" x14ac:dyDescent="0.3">
      <c r="B304" s="75"/>
      <c r="C304" s="75"/>
      <c r="D304" s="75"/>
      <c r="E304" s="75"/>
      <c r="F304" s="75"/>
    </row>
    <row r="305" spans="1:25" x14ac:dyDescent="0.3">
      <c r="A305" s="13"/>
      <c r="B305" s="75"/>
      <c r="C305" s="75"/>
      <c r="D305" s="75"/>
      <c r="E305" s="75"/>
      <c r="F305" s="75"/>
    </row>
    <row r="306" spans="1:25" x14ac:dyDescent="0.3">
      <c r="B306" s="75"/>
      <c r="C306" s="75"/>
      <c r="D306" s="75"/>
      <c r="E306" s="75"/>
      <c r="F306" s="75"/>
    </row>
    <row r="307" spans="1:25" x14ac:dyDescent="0.3">
      <c r="A307" s="13"/>
      <c r="B307" s="75"/>
      <c r="C307" s="75"/>
      <c r="D307" s="75"/>
      <c r="E307" s="75"/>
      <c r="F307" s="75"/>
    </row>
    <row r="308" spans="1:25" x14ac:dyDescent="0.3">
      <c r="B308" s="75"/>
      <c r="C308" s="75"/>
      <c r="D308" s="75"/>
      <c r="E308" s="75"/>
      <c r="F308" s="75"/>
    </row>
    <row r="309" spans="1:25" x14ac:dyDescent="0.3">
      <c r="B309" s="75"/>
      <c r="C309" s="75"/>
      <c r="D309" s="75"/>
      <c r="E309" s="75"/>
      <c r="F309" s="75"/>
    </row>
    <row r="310" spans="1:25" ht="48.75" customHeight="1" x14ac:dyDescent="0.3">
      <c r="B310" s="75"/>
      <c r="C310" s="75"/>
      <c r="D310" s="75"/>
      <c r="E310" s="75"/>
      <c r="F310" s="75"/>
      <c r="G310" s="16"/>
      <c r="H310" s="16"/>
      <c r="I310" s="16"/>
      <c r="J310" s="16"/>
      <c r="K310" s="16"/>
      <c r="L310" s="16"/>
      <c r="M310" s="16"/>
      <c r="N310" s="16"/>
      <c r="O310" s="16"/>
      <c r="P310" s="16"/>
      <c r="Q310" s="16"/>
      <c r="R310" s="16"/>
      <c r="S310" s="16"/>
      <c r="T310" s="16"/>
      <c r="U310" s="16"/>
      <c r="V310" s="16"/>
      <c r="W310" s="16"/>
      <c r="X310" s="16"/>
      <c r="Y310" s="16"/>
    </row>
    <row r="311" spans="1:25" x14ac:dyDescent="0.3">
      <c r="B311" s="75"/>
      <c r="C311" s="75"/>
      <c r="D311" s="75"/>
      <c r="E311" s="75"/>
      <c r="F311" s="75"/>
    </row>
    <row r="312" spans="1:25" ht="31.95" customHeight="1" x14ac:dyDescent="0.3">
      <c r="B312" s="75"/>
      <c r="C312" s="75"/>
      <c r="D312" s="75"/>
      <c r="E312" s="75"/>
      <c r="F312" s="75"/>
      <c r="G312" s="16"/>
      <c r="H312" s="16"/>
      <c r="I312" s="16"/>
      <c r="J312" s="16"/>
      <c r="K312" s="16"/>
      <c r="L312" s="16"/>
      <c r="M312" s="16"/>
      <c r="N312" s="16"/>
      <c r="O312" s="16"/>
      <c r="P312" s="16"/>
      <c r="Q312" s="16"/>
      <c r="R312" s="16"/>
      <c r="S312" s="16"/>
      <c r="T312" s="16"/>
      <c r="U312" s="16"/>
      <c r="V312" s="16"/>
      <c r="W312" s="16"/>
      <c r="X312" s="16"/>
      <c r="Y312" s="16"/>
    </row>
    <row r="313" spans="1:25" x14ac:dyDescent="0.3">
      <c r="B313" s="75"/>
      <c r="C313" s="75"/>
      <c r="D313" s="75"/>
      <c r="E313" s="75"/>
      <c r="F313" s="75"/>
    </row>
    <row r="314" spans="1:25" ht="45" customHeight="1" x14ac:dyDescent="0.3">
      <c r="B314" s="75"/>
      <c r="C314" s="75"/>
      <c r="D314" s="75"/>
      <c r="E314" s="75"/>
      <c r="F314" s="75"/>
      <c r="G314" s="16"/>
      <c r="H314" s="16"/>
      <c r="I314" s="16"/>
      <c r="J314" s="16"/>
      <c r="K314" s="16"/>
      <c r="L314" s="16"/>
      <c r="M314" s="16"/>
      <c r="N314" s="16"/>
      <c r="O314" s="16"/>
      <c r="P314" s="16"/>
      <c r="Q314" s="16"/>
      <c r="R314" s="16"/>
      <c r="S314" s="16"/>
      <c r="T314" s="16"/>
      <c r="U314" s="16"/>
      <c r="V314" s="16"/>
      <c r="W314" s="16"/>
      <c r="X314" s="16"/>
      <c r="Y314" s="16"/>
    </row>
    <row r="315" spans="1:25" x14ac:dyDescent="0.3">
      <c r="B315" s="75"/>
      <c r="C315" s="75"/>
      <c r="D315" s="75"/>
      <c r="E315" s="75"/>
      <c r="F315" s="75"/>
    </row>
    <row r="316" spans="1:25" ht="44.55" customHeight="1" x14ac:dyDescent="0.3">
      <c r="B316" s="75"/>
      <c r="C316" s="75"/>
      <c r="D316" s="75"/>
      <c r="E316" s="75"/>
      <c r="F316" s="75"/>
      <c r="G316" s="16"/>
      <c r="H316" s="16"/>
      <c r="I316" s="16"/>
      <c r="J316" s="16"/>
      <c r="K316" s="16"/>
      <c r="L316" s="16"/>
      <c r="M316" s="16"/>
      <c r="N316" s="16"/>
      <c r="O316" s="16"/>
      <c r="P316" s="16"/>
      <c r="Q316" s="16"/>
      <c r="R316" s="16"/>
      <c r="S316" s="16"/>
      <c r="T316" s="16"/>
      <c r="U316" s="16"/>
      <c r="V316" s="16"/>
      <c r="W316" s="16"/>
      <c r="X316" s="16"/>
      <c r="Y316" s="16"/>
    </row>
    <row r="317" spans="1:25" x14ac:dyDescent="0.3">
      <c r="B317" s="75"/>
      <c r="C317" s="75"/>
      <c r="D317" s="75"/>
      <c r="E317" s="75"/>
      <c r="F317" s="75"/>
    </row>
    <row r="318" spans="1:25" ht="46.2" customHeight="1" x14ac:dyDescent="0.3">
      <c r="B318" s="75"/>
      <c r="C318" s="75"/>
      <c r="D318" s="75"/>
      <c r="E318" s="75"/>
      <c r="F318" s="75"/>
      <c r="G318" s="17"/>
      <c r="H318" s="17"/>
      <c r="I318" s="17"/>
      <c r="J318" s="17"/>
      <c r="K318" s="17"/>
      <c r="L318" s="17"/>
      <c r="M318" s="17"/>
      <c r="N318" s="17"/>
      <c r="O318" s="17"/>
      <c r="P318" s="17"/>
      <c r="Q318" s="17"/>
      <c r="R318" s="17"/>
      <c r="S318" s="17"/>
      <c r="T318" s="17"/>
      <c r="U318" s="17"/>
      <c r="V318" s="17"/>
      <c r="W318" s="17"/>
      <c r="X318" s="17"/>
      <c r="Y318" s="17"/>
    </row>
    <row r="319" spans="1:25" x14ac:dyDescent="0.3">
      <c r="B319" s="75"/>
      <c r="C319" s="75"/>
      <c r="D319" s="75"/>
      <c r="E319" s="75"/>
      <c r="F319" s="75"/>
    </row>
    <row r="320" spans="1:25" ht="64.2" customHeight="1" x14ac:dyDescent="0.3">
      <c r="B320" s="75"/>
      <c r="C320" s="75"/>
      <c r="D320" s="75"/>
      <c r="E320" s="75"/>
      <c r="F320" s="75"/>
      <c r="G320" s="15"/>
      <c r="H320" s="15"/>
      <c r="I320" s="15"/>
      <c r="J320" s="15"/>
      <c r="K320" s="15"/>
      <c r="L320" s="15"/>
      <c r="M320" s="15"/>
      <c r="N320" s="15"/>
      <c r="O320" s="15"/>
      <c r="P320" s="15"/>
      <c r="Q320" s="15"/>
      <c r="R320" s="15"/>
      <c r="S320" s="15"/>
      <c r="T320" s="15"/>
      <c r="U320" s="15"/>
      <c r="V320" s="15"/>
      <c r="W320" s="15"/>
      <c r="X320" s="15"/>
      <c r="Y320" s="15"/>
    </row>
    <row r="321" spans="2:25" x14ac:dyDescent="0.3">
      <c r="B321" s="75"/>
      <c r="C321" s="75"/>
      <c r="D321" s="75"/>
      <c r="E321" s="75"/>
      <c r="F321" s="75"/>
    </row>
    <row r="322" spans="2:25" ht="66.75" customHeight="1" x14ac:dyDescent="0.3">
      <c r="B322" s="75"/>
      <c r="C322" s="75"/>
      <c r="D322" s="75"/>
      <c r="E322" s="75"/>
      <c r="F322" s="75"/>
      <c r="G322" s="18"/>
      <c r="H322" s="18"/>
      <c r="I322" s="18"/>
      <c r="J322" s="18"/>
      <c r="K322" s="18"/>
      <c r="L322" s="18"/>
      <c r="M322" s="18"/>
      <c r="N322" s="18"/>
      <c r="O322" s="18"/>
      <c r="P322" s="18"/>
      <c r="Q322" s="18"/>
      <c r="R322" s="18"/>
      <c r="S322" s="18"/>
      <c r="T322" s="18"/>
      <c r="U322" s="18"/>
      <c r="V322" s="18"/>
      <c r="W322" s="18"/>
      <c r="X322" s="18"/>
      <c r="Y322" s="18"/>
    </row>
    <row r="323" spans="2:25" x14ac:dyDescent="0.3">
      <c r="B323" s="75"/>
      <c r="C323" s="75"/>
      <c r="D323" s="75"/>
      <c r="E323" s="75"/>
      <c r="F323" s="75"/>
    </row>
    <row r="324" spans="2:25" x14ac:dyDescent="0.3">
      <c r="B324" s="75"/>
      <c r="C324" s="75"/>
      <c r="D324" s="75"/>
      <c r="E324" s="75"/>
      <c r="F324" s="75"/>
    </row>
    <row r="325" spans="2:25" x14ac:dyDescent="0.3">
      <c r="B325" s="75"/>
      <c r="C325" s="75"/>
      <c r="D325" s="75"/>
      <c r="E325" s="75"/>
      <c r="F325" s="75"/>
    </row>
    <row r="326" spans="2:25" x14ac:dyDescent="0.3">
      <c r="B326" s="75"/>
      <c r="C326" s="75"/>
      <c r="D326" s="75"/>
      <c r="E326" s="75"/>
      <c r="F326" s="75"/>
    </row>
    <row r="327" spans="2:25" x14ac:dyDescent="0.3">
      <c r="B327" s="75"/>
      <c r="C327" s="75"/>
      <c r="D327" s="75"/>
      <c r="E327" s="75"/>
      <c r="F327" s="75"/>
    </row>
    <row r="328" spans="2:25" x14ac:dyDescent="0.3">
      <c r="B328" s="75"/>
      <c r="C328" s="75"/>
      <c r="D328" s="75"/>
      <c r="E328" s="75"/>
      <c r="F328" s="75"/>
    </row>
    <row r="329" spans="2:25" x14ac:dyDescent="0.3">
      <c r="B329" s="75"/>
      <c r="C329" s="75"/>
      <c r="D329" s="75"/>
      <c r="E329" s="75"/>
      <c r="F329" s="75"/>
    </row>
    <row r="330" spans="2:25" x14ac:dyDescent="0.3">
      <c r="B330" s="75"/>
      <c r="C330" s="75"/>
      <c r="D330" s="75"/>
      <c r="E330" s="75"/>
      <c r="F330" s="75"/>
    </row>
    <row r="331" spans="2:25" x14ac:dyDescent="0.3">
      <c r="B331" s="75"/>
      <c r="C331" s="75"/>
      <c r="D331" s="75"/>
      <c r="E331" s="75"/>
      <c r="F331" s="75"/>
    </row>
    <row r="332" spans="2:25" ht="15" thickBot="1" x14ac:dyDescent="0.35">
      <c r="B332" s="75"/>
      <c r="C332" s="75"/>
      <c r="D332" s="75"/>
      <c r="E332" s="75"/>
      <c r="F332" s="75"/>
      <c r="L332" s="5"/>
    </row>
    <row r="333" spans="2:25" x14ac:dyDescent="0.3">
      <c r="B333" s="75"/>
      <c r="C333" s="75"/>
      <c r="D333" s="75"/>
      <c r="E333" s="75"/>
      <c r="F333" s="75"/>
      <c r="G333" s="26"/>
      <c r="H333" s="26"/>
      <c r="I333" s="26"/>
      <c r="J333" s="26"/>
      <c r="K333" s="26"/>
      <c r="L333" s="26"/>
      <c r="M333" s="26"/>
      <c r="N333" s="26"/>
      <c r="O333" s="26"/>
      <c r="P333" s="26"/>
      <c r="Q333" s="26"/>
      <c r="R333" s="26"/>
      <c r="S333" s="26"/>
      <c r="T333" s="26"/>
      <c r="U333" s="26"/>
      <c r="V333" s="26"/>
      <c r="W333" s="26"/>
      <c r="X333" s="26"/>
      <c r="Y333" s="26"/>
    </row>
    <row r="334" spans="2:25" x14ac:dyDescent="0.3">
      <c r="B334" s="75"/>
      <c r="C334" s="75"/>
      <c r="D334" s="75"/>
      <c r="E334" s="75"/>
      <c r="F334" s="75"/>
    </row>
    <row r="335" spans="2:25" x14ac:dyDescent="0.3">
      <c r="B335" s="75"/>
      <c r="C335" s="75"/>
      <c r="D335" s="75"/>
      <c r="E335" s="75"/>
      <c r="F335" s="75"/>
    </row>
    <row r="336" spans="2:25" x14ac:dyDescent="0.3">
      <c r="B336" s="75"/>
      <c r="C336" s="75"/>
      <c r="D336" s="75"/>
      <c r="E336" s="75"/>
      <c r="F336" s="75"/>
    </row>
    <row r="337" spans="2:6" x14ac:dyDescent="0.3">
      <c r="B337" s="75"/>
      <c r="C337" s="75"/>
      <c r="D337" s="75"/>
      <c r="E337" s="75"/>
      <c r="F337" s="75"/>
    </row>
    <row r="338" spans="2:6" x14ac:dyDescent="0.3">
      <c r="B338" s="75"/>
      <c r="C338" s="75"/>
      <c r="D338" s="75"/>
      <c r="E338" s="75"/>
      <c r="F338" s="75"/>
    </row>
    <row r="339" spans="2:6" x14ac:dyDescent="0.3">
      <c r="B339" s="75"/>
      <c r="C339" s="75"/>
      <c r="D339" s="75"/>
      <c r="E339" s="75"/>
      <c r="F339" s="75"/>
    </row>
    <row r="340" spans="2:6" x14ac:dyDescent="0.3">
      <c r="B340" s="75"/>
      <c r="C340" s="75"/>
      <c r="D340" s="75"/>
      <c r="E340" s="75"/>
      <c r="F340" s="75"/>
    </row>
    <row r="341" spans="2:6" x14ac:dyDescent="0.3">
      <c r="B341" s="75"/>
      <c r="C341" s="75"/>
      <c r="D341" s="75"/>
      <c r="E341" s="75"/>
      <c r="F341" s="75"/>
    </row>
    <row r="342" spans="2:6" x14ac:dyDescent="0.3">
      <c r="B342" s="75"/>
      <c r="C342" s="75"/>
      <c r="D342" s="75"/>
      <c r="E342" s="75"/>
      <c r="F342" s="75"/>
    </row>
    <row r="343" spans="2:6" x14ac:dyDescent="0.3">
      <c r="B343" s="75"/>
      <c r="C343" s="75"/>
      <c r="D343" s="75"/>
      <c r="E343" s="75"/>
      <c r="F343" s="75"/>
    </row>
    <row r="344" spans="2:6" x14ac:dyDescent="0.3">
      <c r="B344" s="75"/>
      <c r="C344" s="75"/>
      <c r="D344" s="75"/>
      <c r="E344" s="75"/>
      <c r="F344" s="75"/>
    </row>
    <row r="345" spans="2:6" x14ac:dyDescent="0.3">
      <c r="B345" s="75"/>
      <c r="C345" s="75"/>
      <c r="D345" s="75"/>
      <c r="E345" s="75"/>
      <c r="F345" s="75"/>
    </row>
    <row r="346" spans="2:6" x14ac:dyDescent="0.3">
      <c r="B346" s="75"/>
      <c r="C346" s="75"/>
      <c r="D346" s="75"/>
      <c r="E346" s="75"/>
      <c r="F346" s="75"/>
    </row>
    <row r="347" spans="2:6" x14ac:dyDescent="0.3">
      <c r="B347" s="75"/>
      <c r="C347" s="75"/>
      <c r="D347" s="75"/>
      <c r="E347" s="75"/>
      <c r="F347" s="75"/>
    </row>
    <row r="348" spans="2:6" x14ac:dyDescent="0.3">
      <c r="B348" s="75"/>
      <c r="C348" s="75"/>
      <c r="D348" s="75"/>
      <c r="E348" s="75"/>
      <c r="F348" s="75"/>
    </row>
    <row r="349" spans="2:6" x14ac:dyDescent="0.3">
      <c r="B349" s="75"/>
      <c r="C349" s="75"/>
      <c r="D349" s="75"/>
      <c r="E349" s="75"/>
      <c r="F349" s="75"/>
    </row>
    <row r="350" spans="2:6" x14ac:dyDescent="0.3">
      <c r="B350" s="75"/>
      <c r="C350" s="75"/>
      <c r="D350" s="75"/>
      <c r="E350" s="75"/>
      <c r="F350" s="75"/>
    </row>
    <row r="351" spans="2:6" x14ac:dyDescent="0.3">
      <c r="B351" s="75"/>
      <c r="C351" s="75"/>
      <c r="D351" s="75"/>
      <c r="E351" s="75"/>
      <c r="F351" s="75"/>
    </row>
    <row r="352" spans="2:6" x14ac:dyDescent="0.3">
      <c r="B352" s="75"/>
      <c r="C352" s="75"/>
      <c r="D352" s="75"/>
      <c r="E352" s="75"/>
      <c r="F352" s="75"/>
    </row>
    <row r="353" spans="2:6" x14ac:dyDescent="0.3">
      <c r="B353" s="75"/>
      <c r="C353" s="75"/>
      <c r="D353" s="75"/>
      <c r="E353" s="75"/>
      <c r="F353" s="75"/>
    </row>
    <row r="354" spans="2:6" x14ac:dyDescent="0.3">
      <c r="B354" s="75"/>
      <c r="C354" s="75"/>
      <c r="D354" s="75"/>
      <c r="E354" s="75"/>
      <c r="F354" s="75"/>
    </row>
    <row r="355" spans="2:6" x14ac:dyDescent="0.3">
      <c r="B355" s="75"/>
      <c r="C355" s="75"/>
      <c r="D355" s="75"/>
      <c r="E355" s="75"/>
      <c r="F355" s="75"/>
    </row>
    <row r="356" spans="2:6" x14ac:dyDescent="0.3">
      <c r="B356" s="75"/>
      <c r="C356" s="75"/>
      <c r="D356" s="75"/>
      <c r="E356" s="75"/>
      <c r="F356" s="75"/>
    </row>
    <row r="357" spans="2:6" x14ac:dyDescent="0.3">
      <c r="B357" s="75"/>
      <c r="C357" s="75"/>
      <c r="D357" s="75"/>
      <c r="E357" s="75"/>
      <c r="F357" s="75"/>
    </row>
    <row r="358" spans="2:6" x14ac:dyDescent="0.3">
      <c r="B358" s="75"/>
      <c r="C358" s="75"/>
      <c r="D358" s="75"/>
      <c r="E358" s="75"/>
      <c r="F358" s="75"/>
    </row>
    <row r="359" spans="2:6" x14ac:dyDescent="0.3">
      <c r="B359" s="75"/>
      <c r="C359" s="75"/>
      <c r="D359" s="75"/>
      <c r="E359" s="75"/>
      <c r="F359" s="75"/>
    </row>
    <row r="360" spans="2:6" x14ac:dyDescent="0.3">
      <c r="B360" s="75"/>
      <c r="C360" s="75"/>
      <c r="D360" s="75"/>
      <c r="E360" s="75"/>
      <c r="F360" s="75"/>
    </row>
    <row r="361" spans="2:6" x14ac:dyDescent="0.3">
      <c r="B361" s="75"/>
      <c r="C361" s="75"/>
      <c r="D361" s="75"/>
      <c r="E361" s="75"/>
      <c r="F361" s="75"/>
    </row>
    <row r="362" spans="2:6" x14ac:dyDescent="0.3">
      <c r="B362" s="75"/>
      <c r="C362" s="75"/>
      <c r="D362" s="75"/>
      <c r="E362" s="75"/>
      <c r="F362" s="75"/>
    </row>
    <row r="363" spans="2:6" x14ac:dyDescent="0.3">
      <c r="B363" s="75"/>
      <c r="C363" s="75"/>
      <c r="D363" s="75"/>
      <c r="E363" s="75"/>
      <c r="F363" s="75"/>
    </row>
    <row r="364" spans="2:6" x14ac:dyDescent="0.3">
      <c r="B364" s="75"/>
      <c r="C364" s="75"/>
      <c r="D364" s="75"/>
      <c r="E364" s="75"/>
      <c r="F364" s="75"/>
    </row>
    <row r="365" spans="2:6" x14ac:dyDescent="0.3">
      <c r="B365" s="75"/>
      <c r="C365" s="75"/>
      <c r="D365" s="75"/>
      <c r="E365" s="75"/>
      <c r="F365" s="75"/>
    </row>
    <row r="366" spans="2:6" ht="27" customHeight="1" x14ac:dyDescent="0.3">
      <c r="B366" s="75"/>
      <c r="C366" s="75"/>
      <c r="D366" s="75"/>
      <c r="E366" s="75"/>
      <c r="F366" s="75"/>
    </row>
    <row r="6947" spans="3:3" x14ac:dyDescent="0.3">
      <c r="C6947">
        <f>SUM(D6948:D6953)</f>
        <v>0</v>
      </c>
    </row>
  </sheetData>
  <mergeCells count="245">
    <mergeCell ref="B165:D165"/>
    <mergeCell ref="B166:D166"/>
    <mergeCell ref="B90:D90"/>
    <mergeCell ref="B92:D92"/>
    <mergeCell ref="B86:D86"/>
    <mergeCell ref="B88:D88"/>
    <mergeCell ref="B108:D108"/>
    <mergeCell ref="B109:D109"/>
    <mergeCell ref="B110:D110"/>
    <mergeCell ref="B111:D111"/>
    <mergeCell ref="B112:D112"/>
    <mergeCell ref="A227:D227"/>
    <mergeCell ref="B201:D201"/>
    <mergeCell ref="B202:D202"/>
    <mergeCell ref="B204:D204"/>
    <mergeCell ref="B192:D192"/>
    <mergeCell ref="B193:D193"/>
    <mergeCell ref="B195:D195"/>
    <mergeCell ref="B197:D197"/>
    <mergeCell ref="B199:D199"/>
    <mergeCell ref="B200:D200"/>
    <mergeCell ref="B203:D203"/>
    <mergeCell ref="B196:D196"/>
    <mergeCell ref="B198:D198"/>
    <mergeCell ref="B205:D205"/>
    <mergeCell ref="B208:D208"/>
    <mergeCell ref="B210:D210"/>
    <mergeCell ref="B212:D212"/>
    <mergeCell ref="B213:D213"/>
    <mergeCell ref="A206:D206"/>
    <mergeCell ref="A207:D207"/>
    <mergeCell ref="A211:D211"/>
    <mergeCell ref="B226:D226"/>
    <mergeCell ref="B215:D215"/>
    <mergeCell ref="B216:D216"/>
    <mergeCell ref="B159:D159"/>
    <mergeCell ref="B72:D72"/>
    <mergeCell ref="B78:D78"/>
    <mergeCell ref="B79:D79"/>
    <mergeCell ref="B80:D80"/>
    <mergeCell ref="B81:D81"/>
    <mergeCell ref="B82:D82"/>
    <mergeCell ref="B103:D103"/>
    <mergeCell ref="B104:D104"/>
    <mergeCell ref="B105:D105"/>
    <mergeCell ref="B106:D106"/>
    <mergeCell ref="B107:D107"/>
    <mergeCell ref="B118:D118"/>
    <mergeCell ref="B119:D119"/>
    <mergeCell ref="B120:D120"/>
    <mergeCell ref="B121:D121"/>
    <mergeCell ref="B134:D134"/>
    <mergeCell ref="B129:D129"/>
    <mergeCell ref="B130:D130"/>
    <mergeCell ref="B131:D131"/>
    <mergeCell ref="B132:D132"/>
    <mergeCell ref="B133:D133"/>
    <mergeCell ref="B124:D124"/>
    <mergeCell ref="B83:D83"/>
    <mergeCell ref="B186:D186"/>
    <mergeCell ref="B66:D66"/>
    <mergeCell ref="B188:D188"/>
    <mergeCell ref="B67:D67"/>
    <mergeCell ref="B173:D173"/>
    <mergeCell ref="B174:D174"/>
    <mergeCell ref="B175:D175"/>
    <mergeCell ref="B176:D176"/>
    <mergeCell ref="B219:D219"/>
    <mergeCell ref="B122:D122"/>
    <mergeCell ref="B209:D209"/>
    <mergeCell ref="B218:D218"/>
    <mergeCell ref="B172:D172"/>
    <mergeCell ref="B177:D177"/>
    <mergeCell ref="B178:D178"/>
    <mergeCell ref="B179:D179"/>
    <mergeCell ref="B167:D167"/>
    <mergeCell ref="B168:D168"/>
    <mergeCell ref="B169:D169"/>
    <mergeCell ref="B170:D170"/>
    <mergeCell ref="B171:D171"/>
    <mergeCell ref="B162:D162"/>
    <mergeCell ref="B163:D163"/>
    <mergeCell ref="B164:D164"/>
    <mergeCell ref="B190:D190"/>
    <mergeCell ref="B184:D184"/>
    <mergeCell ref="B185:D185"/>
    <mergeCell ref="B187:D187"/>
    <mergeCell ref="B189:D189"/>
    <mergeCell ref="B135:D135"/>
    <mergeCell ref="B148:D148"/>
    <mergeCell ref="B54:D54"/>
    <mergeCell ref="B150:D150"/>
    <mergeCell ref="B152:D152"/>
    <mergeCell ref="A89:D89"/>
    <mergeCell ref="B136:D136"/>
    <mergeCell ref="B137:D137"/>
    <mergeCell ref="B138:D138"/>
    <mergeCell ref="B139:D139"/>
    <mergeCell ref="B140:D140"/>
    <mergeCell ref="B141:D141"/>
    <mergeCell ref="B181:D181"/>
    <mergeCell ref="B63:D63"/>
    <mergeCell ref="B183:D183"/>
    <mergeCell ref="B153:D153"/>
    <mergeCell ref="B180:D180"/>
    <mergeCell ref="B182:D182"/>
    <mergeCell ref="B68:D68"/>
    <mergeCell ref="B151:D151"/>
    <mergeCell ref="B57:D57"/>
    <mergeCell ref="B59:D59"/>
    <mergeCell ref="B55:D55"/>
    <mergeCell ref="A73:D73"/>
    <mergeCell ref="B74:D74"/>
    <mergeCell ref="B61:D61"/>
    <mergeCell ref="A91:D91"/>
    <mergeCell ref="B69:D69"/>
    <mergeCell ref="B70:D70"/>
    <mergeCell ref="B123:D123"/>
    <mergeCell ref="B113:D113"/>
    <mergeCell ref="B114:D114"/>
    <mergeCell ref="B115:D115"/>
    <mergeCell ref="B116:D116"/>
    <mergeCell ref="B117:D117"/>
    <mergeCell ref="B71:D71"/>
    <mergeCell ref="B84:D84"/>
    <mergeCell ref="B85:D85"/>
    <mergeCell ref="B98:D98"/>
    <mergeCell ref="B99:D99"/>
    <mergeCell ref="B100:D100"/>
    <mergeCell ref="B101:D101"/>
    <mergeCell ref="B102:D102"/>
    <mergeCell ref="A35:D35"/>
    <mergeCell ref="B53:D53"/>
    <mergeCell ref="B65:D65"/>
    <mergeCell ref="A87:D87"/>
    <mergeCell ref="B142:D142"/>
    <mergeCell ref="B144:D144"/>
    <mergeCell ref="B146:D146"/>
    <mergeCell ref="B147:D147"/>
    <mergeCell ref="B149:D149"/>
    <mergeCell ref="B93:D93"/>
    <mergeCell ref="B94:D94"/>
    <mergeCell ref="B95:D95"/>
    <mergeCell ref="B96:D96"/>
    <mergeCell ref="B97:D97"/>
    <mergeCell ref="B125:D125"/>
    <mergeCell ref="B126:D126"/>
    <mergeCell ref="B127:D127"/>
    <mergeCell ref="B128:D128"/>
    <mergeCell ref="B245:E245"/>
    <mergeCell ref="B255:E255"/>
    <mergeCell ref="B251:E251"/>
    <mergeCell ref="B253:E253"/>
    <mergeCell ref="B40:D40"/>
    <mergeCell ref="A41:D41"/>
    <mergeCell ref="B36:D36"/>
    <mergeCell ref="B37:D37"/>
    <mergeCell ref="B38:D38"/>
    <mergeCell ref="B191:D191"/>
    <mergeCell ref="B58:D58"/>
    <mergeCell ref="B194:D194"/>
    <mergeCell ref="B155:D155"/>
    <mergeCell ref="B56:D56"/>
    <mergeCell ref="B157:D157"/>
    <mergeCell ref="B156:D156"/>
    <mergeCell ref="B154:D154"/>
    <mergeCell ref="B158:D158"/>
    <mergeCell ref="B75:D75"/>
    <mergeCell ref="B77:D77"/>
    <mergeCell ref="B76:D76"/>
    <mergeCell ref="B143:D143"/>
    <mergeCell ref="B145:D145"/>
    <mergeCell ref="B64:D64"/>
    <mergeCell ref="B161:D161"/>
    <mergeCell ref="B51:D51"/>
    <mergeCell ref="B52:D52"/>
    <mergeCell ref="A28:D28"/>
    <mergeCell ref="A26:D26"/>
    <mergeCell ref="A1:E1"/>
    <mergeCell ref="A2:E2"/>
    <mergeCell ref="A3:E3"/>
    <mergeCell ref="A4:E4"/>
    <mergeCell ref="A5:E5"/>
    <mergeCell ref="A6:E6"/>
    <mergeCell ref="A17:D17"/>
    <mergeCell ref="B18:D18"/>
    <mergeCell ref="B19:D19"/>
    <mergeCell ref="B20:D20"/>
    <mergeCell ref="B21:D21"/>
    <mergeCell ref="B22:D22"/>
    <mergeCell ref="B23:D23"/>
    <mergeCell ref="B24:D24"/>
    <mergeCell ref="B25:D25"/>
    <mergeCell ref="B27:D27"/>
    <mergeCell ref="B50:D50"/>
    <mergeCell ref="B49:D49"/>
    <mergeCell ref="B47:D47"/>
    <mergeCell ref="Z2:Z3"/>
    <mergeCell ref="Z5:Z6"/>
    <mergeCell ref="A13:B13"/>
    <mergeCell ref="A14:B14"/>
    <mergeCell ref="A15:B15"/>
    <mergeCell ref="A8:Z8"/>
    <mergeCell ref="A9:E11"/>
    <mergeCell ref="F9:S9"/>
    <mergeCell ref="B160:D160"/>
    <mergeCell ref="B60:D60"/>
    <mergeCell ref="B62:D62"/>
    <mergeCell ref="B48:D48"/>
    <mergeCell ref="B46:D46"/>
    <mergeCell ref="B45:D45"/>
    <mergeCell ref="B44:D44"/>
    <mergeCell ref="B42:D42"/>
    <mergeCell ref="B43:D43"/>
    <mergeCell ref="B39:D39"/>
    <mergeCell ref="A29:D29"/>
    <mergeCell ref="A30:D30"/>
    <mergeCell ref="A31:D31"/>
    <mergeCell ref="A32:D32"/>
    <mergeCell ref="A33:D33"/>
    <mergeCell ref="A34:D34"/>
    <mergeCell ref="B274:F366"/>
    <mergeCell ref="B217:D217"/>
    <mergeCell ref="A214:D214"/>
    <mergeCell ref="B222:D222"/>
    <mergeCell ref="B223:D223"/>
    <mergeCell ref="B224:D224"/>
    <mergeCell ref="B225:D225"/>
    <mergeCell ref="B220:D220"/>
    <mergeCell ref="B221:D221"/>
    <mergeCell ref="B228:C228"/>
    <mergeCell ref="B263:F263"/>
    <mergeCell ref="B264:F271"/>
    <mergeCell ref="B249:E249"/>
    <mergeCell ref="B258:E258"/>
    <mergeCell ref="B273:F273"/>
    <mergeCell ref="B237:E237"/>
    <mergeCell ref="B239:E239"/>
    <mergeCell ref="B247:E247"/>
    <mergeCell ref="B230:C230"/>
    <mergeCell ref="B231:F231"/>
    <mergeCell ref="B233:E233"/>
    <mergeCell ref="B235:E235"/>
    <mergeCell ref="B241:E241"/>
    <mergeCell ref="B243:E243"/>
  </mergeCells>
  <phoneticPr fontId="18" type="noConversion"/>
  <pageMargins left="0.70866141732283472" right="0.70866141732283472" top="0.74803149606299213" bottom="0.74803149606299213" header="0.31496062992125984" footer="0.31496062992125984"/>
  <pageSetup scale="3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cronograma</vt:lpstr>
      <vt:lpstr>cronograma!Área_de_impresión</vt:lpstr>
      <vt:lpstr>cronograma!Títulos_a_imprimir</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hernandez muñoz</dc:creator>
  <cp:lastModifiedBy>Fernanda Daniels</cp:lastModifiedBy>
  <cp:lastPrinted>2026-07-06T23:09:50Z</cp:lastPrinted>
  <dcterms:created xsi:type="dcterms:W3CDTF">2020-07-09T23:10:53Z</dcterms:created>
  <dcterms:modified xsi:type="dcterms:W3CDTF">2026-07-15T21:35:31Z</dcterms:modified>
</cp:coreProperties>
</file>