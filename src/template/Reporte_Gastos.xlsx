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8_{D6902D29-8C11-4D45-B88E-1F571EE0C3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1" r:id="rId1"/>
    <sheet name="Reporte de Gastos" sheetId="2" r:id="rId2"/>
  </sheets>
  <definedNames>
    <definedName name="_xlnm._FilterDatabase" localSheetId="1" hidden="1">'Reporte de Gastos'!$B$6:$N$69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" i="2" l="1"/>
  <c r="Q4" i="2" s="1"/>
  <c r="M70" i="2"/>
  <c r="Q5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M69" i="2"/>
  <c r="L69" i="2"/>
  <c r="N70" i="2" l="1"/>
</calcChain>
</file>

<file path=xl/sharedStrings.xml><?xml version="1.0" encoding="utf-8"?>
<sst xmlns="http://schemas.openxmlformats.org/spreadsheetml/2006/main" count="502" uniqueCount="186">
  <si>
    <t>JR INGENIERÍA ELECTRIC — GUÍA DE LLENADO Y MANUAL DE GASTOS</t>
  </si>
  <si>
    <t>SECCIÓN O PASO</t>
  </si>
  <si>
    <t>INSTRUCCIÓN DETALLADA PARA PERSONAL DE CAMPO Y SUCURSALES</t>
  </si>
  <si>
    <t>UBICACIÓN EN EL FORMATO</t>
  </si>
  <si>
    <t>1. Datos Generales</t>
  </si>
  <si>
    <t>Antes de registrar movimientos, capture obligatoriamente: Nombre, Puesto, Sucursal, el Proyecto específico  y el Periodo del reporte.</t>
  </si>
  <si>
    <t>Bloque Superior (Celdas B3 a F4)</t>
  </si>
  <si>
    <t>2. Fondo Asignado Inicial</t>
  </si>
  <si>
    <t>Ingrese el dinero en efectivo o caja chica con el que inició el periodo en la celda correspondiente del Resumen. Si no recibió fondo inicial, deje en 0.</t>
  </si>
  <si>
    <t>Cuadro Resumen (Celda M3)</t>
  </si>
  <si>
    <t>3. Registro Diario de Flujos</t>
  </si>
  <si>
    <t>Registre en orden cronológico cada movimiento. Use una fila por evento. Indique obligatoriamente el Tipo: 'INGRESO' (si la empresa le transfirió más viáticos) o 'GASTO' (si realizó un pago).</t>
  </si>
  <si>
    <t>Tabla Principal (Columnas A a J)</t>
  </si>
  <si>
    <t>4. Comprobación Fiscal</t>
  </si>
  <si>
    <t>En la columna 'Facturado' seleccione SÍ o NO. Si marca SÍ, capture el folio o clave UUID de la factura para validación de contabilidad.</t>
  </si>
  <si>
    <t>Columnas F y G</t>
  </si>
  <si>
    <t>5. Entradas y Salidas</t>
  </si>
  <si>
    <t>Si es un depósito recibido, anote la cantidad en la columna 'Ingreso'. Si es una compra, comida o material, anote en la columna 'Gasto'. El saldo de la fila se calculará automáticamente.</t>
  </si>
  <si>
    <t>Columnas H, I y J</t>
  </si>
  <si>
    <t>6. Interpretación de Saldos</t>
  </si>
  <si>
    <t>Revise las dos celdas de control dinámico inferiores del resumen:
• Si arroja MONTO A FAVOR DEL EMPLEADO (Fondo Naranja): Es el dinero que puso de su bolsa y la empresa debe reembolsarle o depositarle.
• Si arroja FONDO DISPONIBLE EN CAMPO (Fondo Verde): Es dinero que le sobró a la sucursal y tiene disponible.</t>
  </si>
  <si>
    <t>Cuadro Resumen (Celdas M7 y M8)</t>
  </si>
  <si>
    <t>7. Cierre y Validación</t>
  </si>
  <si>
    <t>Una vez completado el periodo, guarde, imprima o exporte a PDF, firme la sección inferior y envíelo a Administración junto con las facturas y tickets adjuntos.</t>
  </si>
  <si>
    <t>Sección de Firmas (Filas 64-65)</t>
  </si>
  <si>
    <t>JR INGENIERÍA ELECTRICA — REPORTE DE GASTOS Y SOLICITUD DE REEMBOLSOS</t>
  </si>
  <si>
    <t>Nombre del Colaborador:</t>
  </si>
  <si>
    <t xml:space="preserve">Monserrat Daniel administración </t>
  </si>
  <si>
    <t>Puesto:</t>
  </si>
  <si>
    <t>Supervisor de obra</t>
  </si>
  <si>
    <t>Área / Sucursal:</t>
  </si>
  <si>
    <t>Querétaro</t>
  </si>
  <si>
    <t>RESUMEN FINANCIERO CENTRAL</t>
  </si>
  <si>
    <t>Proyecto</t>
  </si>
  <si>
    <t xml:space="preserve">los peines electricos </t>
  </si>
  <si>
    <t>Periodo del Reporte:</t>
  </si>
  <si>
    <t>12-03-2025 al 13-06-2026</t>
  </si>
  <si>
    <t>Fecha de Envío:</t>
  </si>
  <si>
    <t>Fondo Inicial Asignado (Caja Chica)</t>
  </si>
  <si>
    <t>No. de integrantes del equipo</t>
  </si>
  <si>
    <t>No. de reporte:</t>
  </si>
  <si>
    <t>2026-06</t>
  </si>
  <si>
    <t>Total Ingresos (+) (Depósitos Empresa)</t>
  </si>
  <si>
    <t>Total Gastos Comprobados (-)</t>
  </si>
  <si>
    <t>Fecha</t>
  </si>
  <si>
    <t>Tipo de Flujo
(Ingreso / Gasto)</t>
  </si>
  <si>
    <t>Concepto / Descripción del Gasto</t>
  </si>
  <si>
    <t>Lugar/proveedor</t>
  </si>
  <si>
    <t>No. de integrantes</t>
  </si>
  <si>
    <t>Nombre de participantes</t>
  </si>
  <si>
    <t>Proyecto / sucursal</t>
  </si>
  <si>
    <t>Forma de Pago</t>
  </si>
  <si>
    <t>¿Facturado?
(SÍ / NO)</t>
  </si>
  <si>
    <t>Folio / UUID Factura/ no. de nota</t>
  </si>
  <si>
    <t>Ingreso (+)
[Depósitos]</t>
  </si>
  <si>
    <t>Gasto (-)
[Compras/Viáticos]</t>
  </si>
  <si>
    <t>Saldo Líquido
[Fórmula]</t>
  </si>
  <si>
    <t>Saldo Neto Final del Periodo</t>
  </si>
  <si>
    <t>Gasto</t>
  </si>
  <si>
    <t>Administrativo - CERTIFICADOS MEDICOS</t>
  </si>
  <si>
    <t>DR PEDRO ANDRES</t>
  </si>
  <si>
    <t>Puebla</t>
  </si>
  <si>
    <t>TRANSFERENCIA</t>
  </si>
  <si>
    <t>Sí</t>
  </si>
  <si>
    <t>NA</t>
  </si>
  <si>
    <t>MONTO A FAVOR DEL EMPLEADO (Reembolso) 🟠</t>
  </si>
  <si>
    <t>Administrativo - MANTTO BODEGA QUERETARO</t>
  </si>
  <si>
    <t>ASOCIACION DE CONDOMINOS DEL PARQUE MICRO  INDUSTRIAL SANTIAGO II</t>
  </si>
  <si>
    <t>C575F213-456F-4DF1-A0ED-C71642B9B5ED</t>
  </si>
  <si>
    <t>FONDO DISPONIBLE EN CAMPO (Empresa) 🟢</t>
  </si>
  <si>
    <t>Administrativo - GASTOS OPERATIVOS</t>
  </si>
  <si>
    <t>VARIOS</t>
  </si>
  <si>
    <t>TARJETA DE DÉBITO</t>
  </si>
  <si>
    <t>MONTO SUGERIDO DE RESPOSICIÓN DE GASTO</t>
  </si>
  <si>
    <t>Administrativo - ALIMENTOS</t>
  </si>
  <si>
    <t>GABRIEL GUADALUPE ZARATE</t>
  </si>
  <si>
    <t>4103b16f-186f-4212-9660-8d06f236c8e9</t>
  </si>
  <si>
    <t>De venta - CABLE CLIENTE</t>
  </si>
  <si>
    <t>COEL</t>
  </si>
  <si>
    <t>EFECTIVO</t>
  </si>
  <si>
    <t>N/A</t>
  </si>
  <si>
    <t>COCINA LAS FUENTES</t>
  </si>
  <si>
    <t>00001000000513484460</t>
  </si>
  <si>
    <t>Administrativo - CASETAS ENTREGA ATR</t>
  </si>
  <si>
    <t>PEAJES</t>
  </si>
  <si>
    <t>Ingreso</t>
  </si>
  <si>
    <t>Administrativo - REPOSICION</t>
  </si>
  <si>
    <t>CATALINA MENDEZ</t>
  </si>
  <si>
    <t>Administrativo - LIMPIEZA</t>
  </si>
  <si>
    <t>MARGARITA</t>
  </si>
  <si>
    <t>De venta - ENVIO CLIENTE DIRECTO OAXACA SOLCITADO POR PACHUCA</t>
  </si>
  <si>
    <t>DHL EXPRESS</t>
  </si>
  <si>
    <t>Proyecto - APROBACION CFE GUBIA</t>
  </si>
  <si>
    <t>CFE</t>
  </si>
  <si>
    <t>18382f23-452b-4f0b-afbd-203c5269b4fa</t>
  </si>
  <si>
    <t>Administrativo - DESPENSA</t>
  </si>
  <si>
    <t>SUPER Q</t>
  </si>
  <si>
    <t>59E1A9D7-98C6-4F4E-9FCB-219CB6F32DDD</t>
  </si>
  <si>
    <t xml:space="preserve">De venta - ENVIO PAQUETE </t>
  </si>
  <si>
    <t>PAQUETE EXPRESS</t>
  </si>
  <si>
    <t>d75cfc8f-4bab-4ff0-8ae1-33d6a4659e02</t>
  </si>
  <si>
    <t>De venta - ENVIO PAQUETE EXPRESS</t>
  </si>
  <si>
    <t>f8f726b3-efc8-4bf5-bdc4-a7d861d22a72</t>
  </si>
  <si>
    <t>43d0b912-8932-4008-891b-b9a8e40a0b8a</t>
  </si>
  <si>
    <t>MARGARIA</t>
  </si>
  <si>
    <t>7840bb38-af4a-48ac-a051-f36de204c4d0</t>
  </si>
  <si>
    <t>OPERADORA TAQUIÑOS</t>
  </si>
  <si>
    <t>5CA4D692-D77D-4747-A110-73FA3A058405</t>
  </si>
  <si>
    <t>Administrativo - BOLSAS BASURA</t>
  </si>
  <si>
    <t>JARCYQUIM</t>
  </si>
  <si>
    <t>7BBA2956-C5D7-4261-A2A2-7115D39A989A</t>
  </si>
  <si>
    <t>ALIMENTOS</t>
  </si>
  <si>
    <t>ISIDRO SANTOS DOMINGUEZ</t>
  </si>
  <si>
    <t>Administrativo - TORNILLOS INTERRUPTORES WEG</t>
  </si>
  <si>
    <t>gm group</t>
  </si>
  <si>
    <t>3F5A333A-D8D2-4ED7-9ED0-17A717D87699</t>
  </si>
  <si>
    <t>De venta - ENVIO PAQUETE EXPRES</t>
  </si>
  <si>
    <t>dad85747-0d3e-438b-9c61-6815141ea915</t>
  </si>
  <si>
    <t>d4947bfb-6217-4197-b252-a466e086f4b4</t>
  </si>
  <si>
    <t>MC</t>
  </si>
  <si>
    <t>TARJETA DE CRÉDITO</t>
  </si>
  <si>
    <t>AD2D311F-8C4E-42C3-B723-F6BC1191B3E6</t>
  </si>
  <si>
    <t>Administrativo - LIMPIEZA SUCURSAL</t>
  </si>
  <si>
    <t>LIMPIEZA SUCURSAL</t>
  </si>
  <si>
    <t>DOMINOS PIZZA</t>
  </si>
  <si>
    <t>DF39B4F8-71A3-46A6-8D64-97DC263144EB</t>
  </si>
  <si>
    <t>D9F4E189-BD44-4C95-9340-6641F62F7E6B</t>
  </si>
  <si>
    <t>De venta - ENVIO ING ALEJO</t>
  </si>
  <si>
    <t>a21603f6-6821-4a9c-a31a-d9bbd7a93f2c</t>
  </si>
  <si>
    <t>LA ESPERANZA</t>
  </si>
  <si>
    <t>31CCEA0A-BDAB-4501-B56E-5B08280EF4FA</t>
  </si>
  <si>
    <t>Administrativo - LUZ BODEGA</t>
  </si>
  <si>
    <t>Administrativo - ALIMENROA</t>
  </si>
  <si>
    <t>48E4459B-DA59-41CD-B100-7A902115A370</t>
  </si>
  <si>
    <t>AE924A96-B85F-403D-B20F97DC2631F998</t>
  </si>
  <si>
    <t>Administrativo - LA ESPERANZA</t>
  </si>
  <si>
    <t>C4D9B157-0800-46BF-9A8B-2DBC297BE589</t>
  </si>
  <si>
    <t>Administrativo - MDF ARAUCO 15 CM</t>
  </si>
  <si>
    <t>BROS FERRETERIA</t>
  </si>
  <si>
    <t>Administrativo - LIMPIEZA SUCURSSAL</t>
  </si>
  <si>
    <t>KFC</t>
  </si>
  <si>
    <t>3F00C089-2B02-470B-985E-D1E4E49F6E4F</t>
  </si>
  <si>
    <t>OXXO</t>
  </si>
  <si>
    <t>c4fec2a0-49ff-47d7-8c14-3ea4d24b1947</t>
  </si>
  <si>
    <t>Administrativo - GORDITA</t>
  </si>
  <si>
    <t>NO APLICA</t>
  </si>
  <si>
    <t>De venta - FLETE ARRANCADORES XEMORTIZ</t>
  </si>
  <si>
    <t>EDGAR HERRERA JIMENEZ</t>
  </si>
  <si>
    <t xml:space="preserve">NO LO TENGO YO </t>
  </si>
  <si>
    <t>Administrativo - DESPENSA CAFE</t>
  </si>
  <si>
    <t>WALMART</t>
  </si>
  <si>
    <t>B36F11EF-A92E-4122-91D4-5134777BB703</t>
  </si>
  <si>
    <t>59BAF448-B057-4CD6-8920-5B82D6141974</t>
  </si>
  <si>
    <t>Administrativo - JARCYQUIM</t>
  </si>
  <si>
    <t>C9C37277-E268-4B1B-A6C5-1A1363801200</t>
  </si>
  <si>
    <t>Administrativo - REPSICION AL 30DE MARZO 2026</t>
  </si>
  <si>
    <t>ABRI MENDEZ</t>
  </si>
  <si>
    <t xml:space="preserve">Administrativo - DESPENSA </t>
  </si>
  <si>
    <t>ESPERANZA</t>
  </si>
  <si>
    <t>83694730-7209-493E-B19D-A290E2E5F1E5</t>
  </si>
  <si>
    <t>Administrativo - ARTICULOS DE LIMPIEZA</t>
  </si>
  <si>
    <t>063FC438-76BD-4C21-9571-7B1588C5D36D</t>
  </si>
  <si>
    <t>Administrativo - MATENIMIENTO OFICINA</t>
  </si>
  <si>
    <t>ASOCIACION DE CONDOMINOS DEL PARQUE MICROSANTIAGO</t>
  </si>
  <si>
    <t xml:space="preserve"> 4B52710C-887D-4A81-A106-2C3C37632B21</t>
  </si>
  <si>
    <t>Proyecto - CASETAS QRO PCH PCH GDL GDJ PCH PCH QRO</t>
  </si>
  <si>
    <t>CASETAS</t>
  </si>
  <si>
    <t>Administrativo - ALIMENTOS 28-03</t>
  </si>
  <si>
    <t>C661FEF2-CF74-404F-8344-F1CA33EA80D7</t>
  </si>
  <si>
    <t>De venta - PAQUETERIA</t>
  </si>
  <si>
    <t>3f13d4d-7604-4656-b479-0c8b81832807</t>
  </si>
  <si>
    <t>POLLO PECHUGON</t>
  </si>
  <si>
    <t>AAA13A03-7CC8-49D9-B892-7E00B7DA6218</t>
  </si>
  <si>
    <t xml:space="preserve">Administrativo - ALIMENTOS </t>
  </si>
  <si>
    <t>TAQUIÑOS</t>
  </si>
  <si>
    <t>617728CB-D65A-4BA1-84B5-2493E74D28AA</t>
  </si>
  <si>
    <t>2562dd12-1f24-4c3d-9649-c2dd898b49ef</t>
  </si>
  <si>
    <t>d463338a-44f4-40fd-a962-4da6521a76fd</t>
  </si>
  <si>
    <t>e3e7aefe-418b-4212-bf06-d5c3e169b774</t>
  </si>
  <si>
    <t>2444306260320194613743</t>
  </si>
  <si>
    <t>NO</t>
  </si>
  <si>
    <t>TOTALES ACUMULADOS DEL PERIODO:</t>
  </si>
  <si>
    <t>_______________________________</t>
  </si>
  <si>
    <t>Elaboró (Responsable en Campo)</t>
  </si>
  <si>
    <t>Revisó (Administración / Sucursal)</t>
  </si>
  <si>
    <t>Autorizó (Dirección 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</si>
</sst>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"/>
  </numFmts>
  <fonts count="1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97D"/>
      <name val="Calibri"/>
    </font>
    <font>
      <b/>
      <sz val="11"/>
      <name val="Calibri"/>
    </font>
    <font>
      <sz val="11"/>
      <name val="Calibri"/>
    </font>
    <font>
      <i/>
      <sz val="9"/>
      <color rgb="FF595959"/>
      <name val="Calibri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186391"/>
        <bgColor indexed="64"/>
      </patternFill>
    </fill>
    <fill>
      <patternFill patternType="solid">
        <fgColor rgb="FF186391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rgb="FF18639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1F497D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/>
    <xf numFmtId="0" fontId="7" fillId="4" borderId="0" xfId="0" applyFont="1" applyFill="1"/>
    <xf numFmtId="14" fontId="9" fillId="0" borderId="0" xfId="0" applyNumberFormat="1" applyFont="1" applyAlignment="1">
      <alignment horizontal="right" vertical="center"/>
    </xf>
    <xf numFmtId="0" fontId="7" fillId="6" borderId="2" xfId="0" applyFont="1" applyFill="1" applyBorder="1"/>
    <xf numFmtId="0" fontId="9" fillId="0" borderId="0" xfId="0" applyFont="1" applyAlignment="1">
      <alignment horizontal="right" vertical="center"/>
    </xf>
    <xf numFmtId="14" fontId="7" fillId="6" borderId="2" xfId="0" applyNumberFormat="1" applyFont="1" applyFill="1" applyBorder="1"/>
    <xf numFmtId="0" fontId="10" fillId="7" borderId="1" xfId="0" applyFont="1" applyFill="1" applyBorder="1" applyAlignment="1">
      <alignment vertical="center"/>
    </xf>
    <xf numFmtId="164" fontId="10" fillId="7" borderId="1" xfId="0" applyNumberFormat="1" applyFont="1" applyFill="1" applyBorder="1" applyAlignment="1">
      <alignment horizontal="right" vertical="center"/>
    </xf>
    <xf numFmtId="14" fontId="11" fillId="0" borderId="0" xfId="0" applyNumberFormat="1" applyFont="1"/>
    <xf numFmtId="0" fontId="11" fillId="0" borderId="0" xfId="0" applyFont="1" applyAlignment="1">
      <alignment horizontal="right"/>
    </xf>
    <xf numFmtId="0" fontId="10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14" fontId="8" fillId="5" borderId="3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164" fontId="12" fillId="8" borderId="1" xfId="0" applyNumberFormat="1" applyFont="1" applyFill="1" applyBorder="1" applyAlignment="1">
      <alignment horizontal="right" vertical="center"/>
    </xf>
    <xf numFmtId="14" fontId="10" fillId="9" borderId="6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64" fontId="10" fillId="9" borderId="1" xfId="0" applyNumberFormat="1" applyFont="1" applyFill="1" applyBorder="1" applyAlignment="1">
      <alignment horizontal="right" vertical="center"/>
    </xf>
    <xf numFmtId="164" fontId="10" fillId="9" borderId="7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vertical="center"/>
    </xf>
    <xf numFmtId="164" fontId="9" fillId="10" borderId="1" xfId="0" applyNumberFormat="1" applyFont="1" applyFill="1" applyBorder="1" applyAlignment="1">
      <alignment horizontal="right" vertical="center"/>
    </xf>
    <xf numFmtId="14" fontId="10" fillId="6" borderId="6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4" fontId="10" fillId="6" borderId="1" xfId="0" applyNumberFormat="1" applyFont="1" applyFill="1" applyBorder="1" applyAlignment="1">
      <alignment horizontal="right" vertical="center"/>
    </xf>
    <xf numFmtId="164" fontId="10" fillId="6" borderId="7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vertical="center"/>
    </xf>
    <xf numFmtId="164" fontId="9" fillId="11" borderId="1" xfId="0" applyNumberFormat="1" applyFont="1" applyFill="1" applyBorder="1" applyAlignment="1">
      <alignment horizontal="right" vertical="center"/>
    </xf>
    <xf numFmtId="0" fontId="11" fillId="12" borderId="0" xfId="0" applyFont="1" applyFill="1"/>
    <xf numFmtId="0" fontId="7" fillId="12" borderId="0" xfId="0" applyFont="1" applyFill="1"/>
    <xf numFmtId="14" fontId="10" fillId="6" borderId="8" xfId="0" applyNumberFormat="1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left" vertical="center"/>
    </xf>
    <xf numFmtId="164" fontId="10" fillId="6" borderId="9" xfId="0" applyNumberFormat="1" applyFont="1" applyFill="1" applyBorder="1" applyAlignment="1">
      <alignment horizontal="right" vertical="center"/>
    </xf>
    <xf numFmtId="164" fontId="10" fillId="6" borderId="10" xfId="0" applyNumberFormat="1" applyFont="1" applyFill="1" applyBorder="1" applyAlignment="1">
      <alignment horizontal="right" vertical="center"/>
    </xf>
    <xf numFmtId="14" fontId="7" fillId="0" borderId="11" xfId="0" applyNumberFormat="1" applyFont="1" applyBorder="1"/>
    <xf numFmtId="0" fontId="7" fillId="0" borderId="11" xfId="0" applyFont="1" applyBorder="1"/>
    <xf numFmtId="0" fontId="9" fillId="0" borderId="11" xfId="0" applyFont="1" applyBorder="1" applyAlignment="1">
      <alignment horizontal="right" vertical="center"/>
    </xf>
    <xf numFmtId="164" fontId="7" fillId="3" borderId="1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horizontal="center" vertical="center"/>
    </xf>
    <xf numFmtId="0" fontId="7" fillId="4" borderId="0" xfId="0" applyFont="1" applyFill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/>
    <xf numFmtId="44" fontId="7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941796</xdr:colOff>
      <xdr:row>1</xdr:row>
      <xdr:rowOff>6313</xdr:rowOff>
    </xdr:from>
    <xdr:to>
      <xdr:col>10</xdr:col>
      <xdr:colOff>2619905</xdr:colOff>
      <xdr:row>4</xdr:row>
      <xdr:rowOff>318833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>
      <selection activeCell="B5" sqref="B5"/>
    </sheetView>
  </sheetViews>
  <sheetFormatPr baseColWidth="10" defaultColWidth="8.88671875" defaultRowHeight="14.4" customHeight="1"/>
  <cols>
    <col min="1" max="1" width="25" customWidth="1"/>
    <col min="2" max="2" width="75" customWidth="1"/>
    <col min="3" max="3" width="30" customWidth="1"/>
  </cols>
  <sheetData>
    <row r="1" spans="1:3" ht="40.049999999999997" customHeight="1">
      <c r="A1" s="52" t="s">
        <v>0</v>
      </c>
      <c r="B1" s="53"/>
      <c r="C1" s="53"/>
    </row>
    <row r="3" spans="1:3" ht="25.05" customHeight="1">
      <c r="A3" s="1" t="s">
        <v>1</v>
      </c>
      <c r="B3" s="2" t="s">
        <v>2</v>
      </c>
      <c r="C3" s="1" t="s">
        <v>3</v>
      </c>
    </row>
    <row r="4" spans="1:3" ht="25.95" customHeight="1">
      <c r="A4" s="3" t="s">
        <v>4</v>
      </c>
      <c r="B4" s="4" t="s">
        <v>5</v>
      </c>
      <c r="C4" s="5" t="s">
        <v>6</v>
      </c>
    </row>
    <row r="5" spans="1:3" ht="25.95" customHeight="1">
      <c r="A5" s="3" t="s">
        <v>7</v>
      </c>
      <c r="B5" s="6" t="s">
        <v>8</v>
      </c>
      <c r="C5" s="5" t="s">
        <v>9</v>
      </c>
    </row>
    <row r="6" spans="1:3" ht="25.95" customHeight="1">
      <c r="A6" s="3" t="s">
        <v>10</v>
      </c>
      <c r="B6" s="4" t="s">
        <v>11</v>
      </c>
      <c r="C6" s="5" t="s">
        <v>12</v>
      </c>
    </row>
    <row r="7" spans="1:3" ht="25.95" customHeight="1">
      <c r="A7" s="3" t="s">
        <v>13</v>
      </c>
      <c r="B7" s="4" t="s">
        <v>14</v>
      </c>
      <c r="C7" s="5" t="s">
        <v>15</v>
      </c>
    </row>
    <row r="8" spans="1:3" ht="25.95" customHeight="1">
      <c r="A8" s="3" t="s">
        <v>16</v>
      </c>
      <c r="B8" s="4" t="s">
        <v>17</v>
      </c>
      <c r="C8" s="5" t="s">
        <v>18</v>
      </c>
    </row>
    <row r="9" spans="1:3" ht="42" customHeight="1">
      <c r="A9" s="3" t="s">
        <v>19</v>
      </c>
      <c r="B9" s="4" t="s">
        <v>20</v>
      </c>
      <c r="C9" s="5" t="s">
        <v>21</v>
      </c>
    </row>
    <row r="10" spans="1:3" ht="25.95" customHeight="1">
      <c r="A10" s="3" t="s">
        <v>22</v>
      </c>
      <c r="B10" s="4" t="s">
        <v>23</v>
      </c>
      <c r="C10" s="5" t="s">
        <v>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73"/>
  <sheetViews>
    <sheetView tabSelected="1" topLeftCell="A8" zoomScale="89" zoomScaleNormal="100" workbookViewId="0">
      <selection activeCell="L6" sqref="L1:L1048576"/>
    </sheetView>
  </sheetViews>
  <sheetFormatPr baseColWidth="10" defaultColWidth="8.88671875" defaultRowHeight="13.2" customHeight="1"/>
  <cols>
    <col min="1" max="1" width="8.88671875" style="7" customWidth="1"/>
    <col min="2" max="2" width="14" style="8" customWidth="1"/>
    <col min="3" max="3" width="32.44140625" style="7" bestFit="1" customWidth="1"/>
    <col min="4" max="4" width="66.33203125" style="7" bestFit="1" customWidth="1"/>
    <col min="5" max="5" width="71.109375" style="7" bestFit="1" customWidth="1"/>
    <col min="6" max="7" width="22.21875" style="7" customWidth="1"/>
    <col min="8" max="8" width="25" style="7" customWidth="1"/>
    <col min="9" max="9" width="18" style="7" customWidth="1"/>
    <col min="10" max="10" width="14" style="7" customWidth="1"/>
    <col min="11" max="11" width="40.109375" style="7" bestFit="1" customWidth="1"/>
    <col min="12" max="13" width="16" style="7" customWidth="1"/>
    <col min="14" max="14" width="21.5546875" style="7" bestFit="1" customWidth="1"/>
    <col min="15" max="15" width="4" style="7" customWidth="1"/>
    <col min="16" max="16" width="42" style="7" customWidth="1"/>
    <col min="17" max="17" width="20" style="7" customWidth="1"/>
    <col min="18" max="18" width="8.88671875" style="7" customWidth="1"/>
    <col min="19" max="16384" width="8.88671875" style="7"/>
  </cols>
  <sheetData>
    <row r="1" spans="1:17" ht="40.049999999999997" customHeight="1">
      <c r="A1" s="9"/>
      <c r="B1" s="54" t="s">
        <v>25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7" ht="22.05" customHeight="1">
      <c r="B2" s="10" t="s">
        <v>26</v>
      </c>
      <c r="C2" s="11" t="s">
        <v>27</v>
      </c>
      <c r="D2" s="12" t="s">
        <v>28</v>
      </c>
      <c r="E2" s="12"/>
      <c r="F2" s="12"/>
      <c r="G2" s="12"/>
      <c r="H2" s="11" t="s">
        <v>29</v>
      </c>
      <c r="I2" s="12" t="s">
        <v>30</v>
      </c>
      <c r="J2" s="11" t="s">
        <v>31</v>
      </c>
      <c r="K2" s="56"/>
      <c r="L2" s="56"/>
      <c r="P2" s="57" t="s">
        <v>32</v>
      </c>
      <c r="Q2" s="58"/>
    </row>
    <row r="3" spans="1:17" ht="25.95" customHeight="1">
      <c r="B3" s="10" t="s">
        <v>33</v>
      </c>
      <c r="C3" s="11" t="s">
        <v>34</v>
      </c>
      <c r="D3" s="12" t="s">
        <v>35</v>
      </c>
      <c r="E3" s="12"/>
      <c r="F3" s="12"/>
      <c r="G3" s="12"/>
      <c r="H3" s="11" t="s">
        <v>36</v>
      </c>
      <c r="I3" s="12" t="s">
        <v>37</v>
      </c>
      <c r="J3" s="13">
        <v>46200.684336412036</v>
      </c>
      <c r="K3" s="56"/>
      <c r="L3" s="56"/>
      <c r="P3" s="14" t="s">
        <v>38</v>
      </c>
      <c r="Q3" s="15">
        <v>20000</v>
      </c>
    </row>
    <row r="4" spans="1:17" ht="25.95" customHeight="1">
      <c r="B4" s="16" t="s">
        <v>39</v>
      </c>
      <c r="D4" s="17" t="s">
        <v>40</v>
      </c>
      <c r="E4" s="17"/>
      <c r="F4" s="17"/>
      <c r="G4" s="17"/>
      <c r="H4" s="11" t="s">
        <v>41</v>
      </c>
      <c r="K4" s="56"/>
      <c r="L4" s="56"/>
      <c r="P4" s="18" t="s">
        <v>42</v>
      </c>
      <c r="Q4" s="19">
        <f>+L70</f>
        <v>7807.89</v>
      </c>
    </row>
    <row r="5" spans="1:17" ht="25.95" customHeight="1">
      <c r="K5" s="56"/>
      <c r="L5" s="56"/>
      <c r="P5" s="18" t="s">
        <v>43</v>
      </c>
      <c r="Q5" s="19">
        <f>+M70</f>
        <v>43641.359999999993</v>
      </c>
    </row>
    <row r="6" spans="1:17" s="9" customFormat="1" ht="57.6" customHeight="1">
      <c r="B6" s="20" t="s">
        <v>44</v>
      </c>
      <c r="C6" s="21" t="s">
        <v>45</v>
      </c>
      <c r="D6" s="21" t="s">
        <v>46</v>
      </c>
      <c r="E6" s="21" t="s">
        <v>47</v>
      </c>
      <c r="F6" s="21" t="s">
        <v>48</v>
      </c>
      <c r="G6" s="21" t="s">
        <v>49</v>
      </c>
      <c r="H6" s="21" t="s">
        <v>50</v>
      </c>
      <c r="I6" s="21" t="s">
        <v>51</v>
      </c>
      <c r="J6" s="22" t="s">
        <v>52</v>
      </c>
      <c r="K6" s="21" t="s">
        <v>53</v>
      </c>
      <c r="L6" s="22" t="s">
        <v>54</v>
      </c>
      <c r="M6" s="22" t="s">
        <v>55</v>
      </c>
      <c r="N6" s="23" t="s">
        <v>56</v>
      </c>
      <c r="P6" s="24" t="s">
        <v>57</v>
      </c>
      <c r="Q6" s="25"/>
    </row>
    <row r="7" spans="1:17" ht="19.95" hidden="1" customHeight="1">
      <c r="B7" s="26">
        <v>46186.25</v>
      </c>
      <c r="C7" s="27" t="s">
        <v>58</v>
      </c>
      <c r="D7" s="28" t="s">
        <v>59</v>
      </c>
      <c r="E7" s="28" t="s">
        <v>60</v>
      </c>
      <c r="F7" s="28"/>
      <c r="G7" s="28"/>
      <c r="H7" s="28" t="s">
        <v>61</v>
      </c>
      <c r="I7" s="27" t="s">
        <v>62</v>
      </c>
      <c r="J7" s="27" t="s">
        <v>63</v>
      </c>
      <c r="K7" s="27" t="s">
        <v>64</v>
      </c>
      <c r="L7" s="29"/>
      <c r="M7" s="29">
        <v>1200</v>
      </c>
      <c r="N7" s="30">
        <f>Q3+L7-M7</f>
        <v>18800</v>
      </c>
      <c r="P7" s="31" t="s">
        <v>65</v>
      </c>
      <c r="Q7" s="32"/>
    </row>
    <row r="8" spans="1:17" ht="19.95" customHeight="1">
      <c r="B8" s="33">
        <v>46182.25</v>
      </c>
      <c r="C8" s="34" t="s">
        <v>58</v>
      </c>
      <c r="D8" s="35" t="s">
        <v>66</v>
      </c>
      <c r="E8" s="35" t="s">
        <v>67</v>
      </c>
      <c r="F8" s="35"/>
      <c r="G8" s="35"/>
      <c r="H8" s="35" t="s">
        <v>31</v>
      </c>
      <c r="I8" s="34" t="s">
        <v>62</v>
      </c>
      <c r="J8" s="34" t="s">
        <v>63</v>
      </c>
      <c r="K8" s="34" t="s">
        <v>68</v>
      </c>
      <c r="L8" s="36"/>
      <c r="M8" s="36">
        <v>937.11</v>
      </c>
      <c r="N8" s="37">
        <f t="shared" ref="N8:N39" si="0">N7+L8-M8</f>
        <v>17862.89</v>
      </c>
      <c r="P8" s="38" t="s">
        <v>69</v>
      </c>
      <c r="Q8" s="39"/>
    </row>
    <row r="9" spans="1:17" ht="19.95" hidden="1" customHeight="1">
      <c r="B9" s="26">
        <v>46181.25</v>
      </c>
      <c r="C9" s="27" t="s">
        <v>58</v>
      </c>
      <c r="D9" s="28" t="s">
        <v>70</v>
      </c>
      <c r="E9" s="28" t="s">
        <v>71</v>
      </c>
      <c r="F9" s="28"/>
      <c r="G9" s="28"/>
      <c r="H9" s="28" t="s">
        <v>61</v>
      </c>
      <c r="I9" s="27" t="s">
        <v>72</v>
      </c>
      <c r="J9" s="27" t="s">
        <v>63</v>
      </c>
      <c r="K9" s="27" t="s">
        <v>64</v>
      </c>
      <c r="L9" s="29"/>
      <c r="M9" s="29">
        <v>4628</v>
      </c>
      <c r="N9" s="30">
        <f t="shared" si="0"/>
        <v>13234.89</v>
      </c>
      <c r="P9" s="40" t="s">
        <v>73</v>
      </c>
      <c r="Q9" s="41"/>
    </row>
    <row r="10" spans="1:17" ht="19.95" customHeight="1">
      <c r="B10" s="33">
        <v>46179.25</v>
      </c>
      <c r="C10" s="34" t="s">
        <v>58</v>
      </c>
      <c r="D10" s="35" t="s">
        <v>74</v>
      </c>
      <c r="E10" s="35" t="s">
        <v>75</v>
      </c>
      <c r="F10" s="35"/>
      <c r="G10" s="35"/>
      <c r="H10" s="35" t="s">
        <v>31</v>
      </c>
      <c r="I10" s="34" t="s">
        <v>62</v>
      </c>
      <c r="J10" s="34" t="s">
        <v>63</v>
      </c>
      <c r="K10" s="34" t="s">
        <v>76</v>
      </c>
      <c r="L10" s="36"/>
      <c r="M10" s="36">
        <v>2678.24</v>
      </c>
      <c r="N10" s="37">
        <f t="shared" si="0"/>
        <v>10556.65</v>
      </c>
    </row>
    <row r="11" spans="1:17" ht="19.95" customHeight="1">
      <c r="B11" s="26">
        <v>46175.25</v>
      </c>
      <c r="C11" s="27" t="s">
        <v>58</v>
      </c>
      <c r="D11" s="28" t="s">
        <v>77</v>
      </c>
      <c r="E11" s="28" t="s">
        <v>78</v>
      </c>
      <c r="F11" s="28"/>
      <c r="G11" s="28"/>
      <c r="H11" s="28" t="s">
        <v>31</v>
      </c>
      <c r="I11" s="27" t="s">
        <v>79</v>
      </c>
      <c r="J11" s="27" t="s">
        <v>63</v>
      </c>
      <c r="K11" s="27" t="s">
        <v>80</v>
      </c>
      <c r="L11" s="29"/>
      <c r="M11" s="29">
        <v>772.56</v>
      </c>
      <c r="N11" s="30">
        <f t="shared" si="0"/>
        <v>9784.09</v>
      </c>
    </row>
    <row r="12" spans="1:17" ht="19.95" customHeight="1">
      <c r="B12" s="33">
        <v>46168.25</v>
      </c>
      <c r="C12" s="34" t="s">
        <v>58</v>
      </c>
      <c r="D12" s="35" t="s">
        <v>74</v>
      </c>
      <c r="E12" s="35" t="s">
        <v>81</v>
      </c>
      <c r="F12" s="35"/>
      <c r="G12" s="35"/>
      <c r="H12" s="35" t="s">
        <v>31</v>
      </c>
      <c r="I12" s="34" t="s">
        <v>62</v>
      </c>
      <c r="J12" s="34" t="s">
        <v>63</v>
      </c>
      <c r="K12" s="34" t="s">
        <v>82</v>
      </c>
      <c r="L12" s="36"/>
      <c r="M12" s="36">
        <v>2668</v>
      </c>
      <c r="N12" s="37">
        <f t="shared" si="0"/>
        <v>7116.09</v>
      </c>
    </row>
    <row r="13" spans="1:17" ht="19.95" customHeight="1">
      <c r="B13" s="26">
        <v>46162.25</v>
      </c>
      <c r="C13" s="27" t="s">
        <v>58</v>
      </c>
      <c r="D13" s="28" t="s">
        <v>83</v>
      </c>
      <c r="E13" s="28" t="s">
        <v>84</v>
      </c>
      <c r="F13" s="28"/>
      <c r="G13" s="28"/>
      <c r="H13" s="28" t="s">
        <v>31</v>
      </c>
      <c r="I13" s="27" t="s">
        <v>79</v>
      </c>
      <c r="J13" s="27" t="s">
        <v>63</v>
      </c>
      <c r="K13" s="27" t="s">
        <v>80</v>
      </c>
      <c r="L13" s="29"/>
      <c r="M13" s="29">
        <v>1327</v>
      </c>
      <c r="N13" s="30">
        <f t="shared" si="0"/>
        <v>5789.09</v>
      </c>
    </row>
    <row r="14" spans="1:17" ht="19.95" customHeight="1">
      <c r="B14" s="33">
        <v>46161.25</v>
      </c>
      <c r="C14" s="34" t="s">
        <v>85</v>
      </c>
      <c r="D14" s="35" t="s">
        <v>86</v>
      </c>
      <c r="E14" s="35" t="s">
        <v>87</v>
      </c>
      <c r="F14" s="35"/>
      <c r="G14" s="35"/>
      <c r="H14" s="35" t="s">
        <v>31</v>
      </c>
      <c r="I14" s="34" t="s">
        <v>62</v>
      </c>
      <c r="J14" s="34" t="s">
        <v>63</v>
      </c>
      <c r="K14" s="34" t="s">
        <v>64</v>
      </c>
      <c r="L14" s="36">
        <v>3000</v>
      </c>
      <c r="M14" s="36"/>
      <c r="N14" s="37">
        <f t="shared" si="0"/>
        <v>8789.09</v>
      </c>
    </row>
    <row r="15" spans="1:17" ht="19.95" customHeight="1">
      <c r="B15" s="26">
        <v>46161.25</v>
      </c>
      <c r="C15" s="27" t="s">
        <v>58</v>
      </c>
      <c r="D15" s="28" t="s">
        <v>88</v>
      </c>
      <c r="E15" s="28" t="s">
        <v>89</v>
      </c>
      <c r="F15" s="28"/>
      <c r="G15" s="28"/>
      <c r="H15" s="28" t="s">
        <v>31</v>
      </c>
      <c r="I15" s="27" t="s">
        <v>79</v>
      </c>
      <c r="J15" s="27" t="s">
        <v>63</v>
      </c>
      <c r="K15" s="27" t="s">
        <v>80</v>
      </c>
      <c r="L15" s="29"/>
      <c r="M15" s="29">
        <v>450</v>
      </c>
      <c r="N15" s="30">
        <f t="shared" si="0"/>
        <v>8339.09</v>
      </c>
    </row>
    <row r="16" spans="1:17" ht="19.95" customHeight="1">
      <c r="B16" s="33">
        <v>46161.25</v>
      </c>
      <c r="C16" s="34" t="s">
        <v>58</v>
      </c>
      <c r="D16" s="35" t="s">
        <v>90</v>
      </c>
      <c r="E16" s="35" t="s">
        <v>91</v>
      </c>
      <c r="F16" s="35"/>
      <c r="G16" s="35"/>
      <c r="H16" s="35" t="s">
        <v>31</v>
      </c>
      <c r="I16" s="34" t="s">
        <v>72</v>
      </c>
      <c r="J16" s="34" t="s">
        <v>63</v>
      </c>
      <c r="K16" s="34" t="s">
        <v>80</v>
      </c>
      <c r="L16" s="36"/>
      <c r="M16" s="36">
        <v>582.9</v>
      </c>
      <c r="N16" s="37">
        <f t="shared" si="0"/>
        <v>7756.1900000000005</v>
      </c>
    </row>
    <row r="17" spans="2:14" ht="19.95" hidden="1" customHeight="1">
      <c r="B17" s="26">
        <v>46161.25</v>
      </c>
      <c r="C17" s="27" t="s">
        <v>58</v>
      </c>
      <c r="D17" s="28" t="s">
        <v>92</v>
      </c>
      <c r="E17" s="28" t="s">
        <v>93</v>
      </c>
      <c r="F17" s="28"/>
      <c r="G17" s="28"/>
      <c r="H17" s="28" t="s">
        <v>61</v>
      </c>
      <c r="I17" s="27" t="s">
        <v>62</v>
      </c>
      <c r="J17" s="27" t="s">
        <v>63</v>
      </c>
      <c r="K17" s="27" t="s">
        <v>64</v>
      </c>
      <c r="L17" s="29"/>
      <c r="M17" s="29">
        <v>14045.85</v>
      </c>
      <c r="N17" s="30">
        <f t="shared" si="0"/>
        <v>-6289.66</v>
      </c>
    </row>
    <row r="18" spans="2:14" ht="19.95" customHeight="1">
      <c r="B18" s="33">
        <v>46158.25</v>
      </c>
      <c r="C18" s="34" t="s">
        <v>58</v>
      </c>
      <c r="D18" s="35" t="s">
        <v>74</v>
      </c>
      <c r="E18" s="35" t="s">
        <v>75</v>
      </c>
      <c r="F18" s="35"/>
      <c r="G18" s="35"/>
      <c r="H18" s="35" t="s">
        <v>31</v>
      </c>
      <c r="I18" s="34" t="s">
        <v>62</v>
      </c>
      <c r="J18" s="34" t="s">
        <v>63</v>
      </c>
      <c r="K18" s="34" t="s">
        <v>94</v>
      </c>
      <c r="L18" s="36"/>
      <c r="M18" s="36">
        <v>2540.4</v>
      </c>
      <c r="N18" s="37">
        <f t="shared" si="0"/>
        <v>-8830.06</v>
      </c>
    </row>
    <row r="19" spans="2:14" ht="19.95" customHeight="1">
      <c r="B19" s="26">
        <v>46158.25</v>
      </c>
      <c r="C19" s="27" t="s">
        <v>58</v>
      </c>
      <c r="D19" s="28" t="s">
        <v>95</v>
      </c>
      <c r="E19" s="28" t="s">
        <v>96</v>
      </c>
      <c r="F19" s="28"/>
      <c r="G19" s="28"/>
      <c r="H19" s="28" t="s">
        <v>31</v>
      </c>
      <c r="I19" s="27" t="s">
        <v>79</v>
      </c>
      <c r="J19" s="27" t="s">
        <v>63</v>
      </c>
      <c r="K19" s="27" t="s">
        <v>97</v>
      </c>
      <c r="L19" s="29"/>
      <c r="M19" s="29">
        <v>154</v>
      </c>
      <c r="N19" s="30">
        <f t="shared" si="0"/>
        <v>-8984.06</v>
      </c>
    </row>
    <row r="20" spans="2:14" ht="19.95" customHeight="1">
      <c r="B20" s="33">
        <v>46157.25</v>
      </c>
      <c r="C20" s="34" t="s">
        <v>58</v>
      </c>
      <c r="D20" s="35" t="s">
        <v>98</v>
      </c>
      <c r="E20" s="35" t="s">
        <v>99</v>
      </c>
      <c r="F20" s="35"/>
      <c r="G20" s="35"/>
      <c r="H20" s="35" t="s">
        <v>31</v>
      </c>
      <c r="I20" s="34" t="s">
        <v>72</v>
      </c>
      <c r="J20" s="34" t="s">
        <v>63</v>
      </c>
      <c r="K20" s="34" t="s">
        <v>100</v>
      </c>
      <c r="L20" s="36"/>
      <c r="M20" s="36">
        <v>352.8</v>
      </c>
      <c r="N20" s="37">
        <f t="shared" si="0"/>
        <v>-9336.8599999999988</v>
      </c>
    </row>
    <row r="21" spans="2:14" ht="19.95" customHeight="1">
      <c r="B21" s="26">
        <v>46157.25</v>
      </c>
      <c r="C21" s="27" t="s">
        <v>58</v>
      </c>
      <c r="D21" s="28" t="s">
        <v>101</v>
      </c>
      <c r="E21" s="28" t="s">
        <v>99</v>
      </c>
      <c r="F21" s="28"/>
      <c r="G21" s="28"/>
      <c r="H21" s="28" t="s">
        <v>31</v>
      </c>
      <c r="I21" s="27" t="s">
        <v>79</v>
      </c>
      <c r="J21" s="27" t="s">
        <v>63</v>
      </c>
      <c r="K21" s="27" t="s">
        <v>102</v>
      </c>
      <c r="L21" s="29"/>
      <c r="M21" s="29">
        <v>137.96</v>
      </c>
      <c r="N21" s="30">
        <f t="shared" si="0"/>
        <v>-9474.8199999999979</v>
      </c>
    </row>
    <row r="22" spans="2:14" ht="19.95" customHeight="1">
      <c r="B22" s="33">
        <v>46155.25</v>
      </c>
      <c r="C22" s="34" t="s">
        <v>58</v>
      </c>
      <c r="D22" s="35" t="s">
        <v>101</v>
      </c>
      <c r="E22" s="35" t="s">
        <v>99</v>
      </c>
      <c r="F22" s="35"/>
      <c r="G22" s="35"/>
      <c r="H22" s="35" t="s">
        <v>31</v>
      </c>
      <c r="I22" s="34" t="s">
        <v>79</v>
      </c>
      <c r="J22" s="34" t="s">
        <v>63</v>
      </c>
      <c r="K22" s="34" t="s">
        <v>103</v>
      </c>
      <c r="L22" s="36"/>
      <c r="M22" s="36">
        <v>261.87</v>
      </c>
      <c r="N22" s="37">
        <f t="shared" si="0"/>
        <v>-9736.6899999999987</v>
      </c>
    </row>
    <row r="23" spans="2:14" ht="19.95" customHeight="1">
      <c r="B23" s="26">
        <v>46154.25</v>
      </c>
      <c r="C23" s="27" t="s">
        <v>58</v>
      </c>
      <c r="D23" s="28" t="s">
        <v>88</v>
      </c>
      <c r="E23" s="28" t="s">
        <v>104</v>
      </c>
      <c r="F23" s="28"/>
      <c r="G23" s="28"/>
      <c r="H23" s="28" t="s">
        <v>31</v>
      </c>
      <c r="I23" s="27" t="s">
        <v>79</v>
      </c>
      <c r="J23" s="27" t="s">
        <v>63</v>
      </c>
      <c r="K23" s="27" t="s">
        <v>80</v>
      </c>
      <c r="L23" s="29"/>
      <c r="M23" s="29">
        <v>450</v>
      </c>
      <c r="N23" s="30">
        <f t="shared" si="0"/>
        <v>-10186.689999999999</v>
      </c>
    </row>
    <row r="24" spans="2:14" ht="19.95" customHeight="1">
      <c r="B24" s="33">
        <v>46151.25</v>
      </c>
      <c r="C24" s="34" t="s">
        <v>58</v>
      </c>
      <c r="D24" s="35" t="s">
        <v>74</v>
      </c>
      <c r="E24" s="35" t="s">
        <v>75</v>
      </c>
      <c r="F24" s="35"/>
      <c r="G24" s="35"/>
      <c r="H24" s="35" t="s">
        <v>31</v>
      </c>
      <c r="I24" s="34" t="s">
        <v>62</v>
      </c>
      <c r="J24" s="34" t="s">
        <v>63</v>
      </c>
      <c r="K24" s="34" t="s">
        <v>105</v>
      </c>
      <c r="L24" s="36"/>
      <c r="M24" s="36">
        <v>1873.4</v>
      </c>
      <c r="N24" s="37">
        <f t="shared" si="0"/>
        <v>-12060.089999999998</v>
      </c>
    </row>
    <row r="25" spans="2:14" ht="19.95" customHeight="1">
      <c r="B25" s="26">
        <v>46150.25</v>
      </c>
      <c r="C25" s="27" t="s">
        <v>58</v>
      </c>
      <c r="D25" s="28" t="s">
        <v>74</v>
      </c>
      <c r="E25" s="28" t="s">
        <v>106</v>
      </c>
      <c r="F25" s="28"/>
      <c r="G25" s="28"/>
      <c r="H25" s="28" t="s">
        <v>31</v>
      </c>
      <c r="I25" s="27" t="s">
        <v>79</v>
      </c>
      <c r="J25" s="27" t="s">
        <v>63</v>
      </c>
      <c r="K25" s="27" t="s">
        <v>107</v>
      </c>
      <c r="L25" s="29"/>
      <c r="M25" s="29">
        <v>530</v>
      </c>
      <c r="N25" s="30">
        <f t="shared" si="0"/>
        <v>-12590.089999999998</v>
      </c>
    </row>
    <row r="26" spans="2:14" ht="19.95" customHeight="1">
      <c r="B26" s="33">
        <v>46149.25</v>
      </c>
      <c r="C26" s="34" t="s">
        <v>58</v>
      </c>
      <c r="D26" s="35" t="s">
        <v>108</v>
      </c>
      <c r="E26" s="35" t="s">
        <v>109</v>
      </c>
      <c r="F26" s="35"/>
      <c r="G26" s="35"/>
      <c r="H26" s="35" t="s">
        <v>31</v>
      </c>
      <c r="I26" s="34" t="s">
        <v>72</v>
      </c>
      <c r="J26" s="34" t="s">
        <v>63</v>
      </c>
      <c r="K26" s="34" t="s">
        <v>110</v>
      </c>
      <c r="L26" s="36"/>
      <c r="M26" s="36">
        <v>79</v>
      </c>
      <c r="N26" s="37">
        <f t="shared" si="0"/>
        <v>-12669.089999999998</v>
      </c>
    </row>
    <row r="27" spans="2:14" ht="19.95" customHeight="1">
      <c r="B27" s="26">
        <v>46149.25</v>
      </c>
      <c r="C27" s="27" t="s">
        <v>58</v>
      </c>
      <c r="D27" s="28" t="s">
        <v>74</v>
      </c>
      <c r="E27" s="28" t="s">
        <v>111</v>
      </c>
      <c r="F27" s="28"/>
      <c r="G27" s="28"/>
      <c r="H27" s="28" t="s">
        <v>31</v>
      </c>
      <c r="I27" s="27" t="s">
        <v>79</v>
      </c>
      <c r="J27" s="27" t="s">
        <v>63</v>
      </c>
      <c r="K27" s="27" t="s">
        <v>80</v>
      </c>
      <c r="L27" s="29"/>
      <c r="M27" s="29">
        <v>220</v>
      </c>
      <c r="N27" s="30">
        <f t="shared" si="0"/>
        <v>-12889.089999999998</v>
      </c>
    </row>
    <row r="28" spans="2:14" ht="19.95" hidden="1" customHeight="1">
      <c r="B28" s="33">
        <v>46148.25</v>
      </c>
      <c r="C28" s="34" t="s">
        <v>58</v>
      </c>
      <c r="D28" s="35" t="s">
        <v>70</v>
      </c>
      <c r="E28" s="35" t="s">
        <v>71</v>
      </c>
      <c r="F28" s="35"/>
      <c r="G28" s="35"/>
      <c r="H28" s="35" t="s">
        <v>61</v>
      </c>
      <c r="I28" s="34" t="s">
        <v>72</v>
      </c>
      <c r="J28" s="34" t="s">
        <v>63</v>
      </c>
      <c r="K28" s="34" t="s">
        <v>64</v>
      </c>
      <c r="L28" s="36"/>
      <c r="M28" s="36">
        <v>4628</v>
      </c>
      <c r="N28" s="37">
        <f t="shared" si="0"/>
        <v>-17517.089999999997</v>
      </c>
    </row>
    <row r="29" spans="2:14" ht="19.95" hidden="1" customHeight="1">
      <c r="B29" s="26">
        <v>46148.25</v>
      </c>
      <c r="C29" s="27" t="s">
        <v>58</v>
      </c>
      <c r="D29" s="28" t="s">
        <v>74</v>
      </c>
      <c r="E29" s="28" t="s">
        <v>112</v>
      </c>
      <c r="F29" s="28"/>
      <c r="G29" s="28"/>
      <c r="H29" s="28" t="s">
        <v>61</v>
      </c>
      <c r="I29" s="27" t="s">
        <v>62</v>
      </c>
      <c r="J29" s="27" t="s">
        <v>63</v>
      </c>
      <c r="K29" s="27" t="s">
        <v>64</v>
      </c>
      <c r="L29" s="29"/>
      <c r="M29" s="29">
        <v>2320</v>
      </c>
      <c r="N29" s="30">
        <f t="shared" si="0"/>
        <v>-19837.089999999997</v>
      </c>
    </row>
    <row r="30" spans="2:14" ht="19.95" customHeight="1">
      <c r="B30" s="33">
        <v>46148.25</v>
      </c>
      <c r="C30" s="34" t="s">
        <v>58</v>
      </c>
      <c r="D30" s="35" t="s">
        <v>113</v>
      </c>
      <c r="E30" s="35" t="s">
        <v>114</v>
      </c>
      <c r="F30" s="35"/>
      <c r="G30" s="35"/>
      <c r="H30" s="35" t="s">
        <v>31</v>
      </c>
      <c r="I30" s="34" t="s">
        <v>79</v>
      </c>
      <c r="J30" s="34" t="s">
        <v>63</v>
      </c>
      <c r="K30" s="34" t="s">
        <v>115</v>
      </c>
      <c r="L30" s="36"/>
      <c r="M30" s="36">
        <v>139</v>
      </c>
      <c r="N30" s="37">
        <f t="shared" si="0"/>
        <v>-19976.089999999997</v>
      </c>
    </row>
    <row r="31" spans="2:14" ht="19.95" customHeight="1">
      <c r="B31" s="26">
        <v>46148.25</v>
      </c>
      <c r="C31" s="27" t="s">
        <v>58</v>
      </c>
      <c r="D31" s="28" t="s">
        <v>116</v>
      </c>
      <c r="E31" s="28" t="s">
        <v>99</v>
      </c>
      <c r="F31" s="28"/>
      <c r="G31" s="28"/>
      <c r="H31" s="28" t="s">
        <v>31</v>
      </c>
      <c r="I31" s="27" t="s">
        <v>72</v>
      </c>
      <c r="J31" s="27" t="s">
        <v>63</v>
      </c>
      <c r="K31" s="27" t="s">
        <v>117</v>
      </c>
      <c r="L31" s="29"/>
      <c r="M31" s="29">
        <v>532.66999999999996</v>
      </c>
      <c r="N31" s="30">
        <f t="shared" si="0"/>
        <v>-20508.759999999995</v>
      </c>
    </row>
    <row r="32" spans="2:14" ht="19.95" customHeight="1">
      <c r="B32" s="33">
        <v>46148.25</v>
      </c>
      <c r="C32" s="34" t="s">
        <v>58</v>
      </c>
      <c r="D32" s="35" t="s">
        <v>101</v>
      </c>
      <c r="E32" s="35" t="s">
        <v>99</v>
      </c>
      <c r="F32" s="35"/>
      <c r="G32" s="35"/>
      <c r="H32" s="35" t="s">
        <v>31</v>
      </c>
      <c r="I32" s="34" t="s">
        <v>72</v>
      </c>
      <c r="J32" s="34" t="s">
        <v>63</v>
      </c>
      <c r="K32" s="34" t="s">
        <v>118</v>
      </c>
      <c r="L32" s="36"/>
      <c r="M32" s="36">
        <v>119.4</v>
      </c>
      <c r="N32" s="37">
        <f t="shared" si="0"/>
        <v>-20628.159999999996</v>
      </c>
    </row>
    <row r="33" spans="2:14" ht="19.95" customHeight="1">
      <c r="B33" s="26">
        <v>46148.25</v>
      </c>
      <c r="C33" s="27" t="s">
        <v>58</v>
      </c>
      <c r="D33" s="28" t="s">
        <v>74</v>
      </c>
      <c r="E33" s="28" t="s">
        <v>111</v>
      </c>
      <c r="F33" s="28"/>
      <c r="G33" s="28"/>
      <c r="H33" s="28" t="s">
        <v>31</v>
      </c>
      <c r="I33" s="27" t="s">
        <v>79</v>
      </c>
      <c r="J33" s="27" t="s">
        <v>63</v>
      </c>
      <c r="K33" s="27" t="s">
        <v>80</v>
      </c>
      <c r="L33" s="29"/>
      <c r="M33" s="29">
        <v>140</v>
      </c>
      <c r="N33" s="30">
        <f t="shared" si="0"/>
        <v>-20768.159999999996</v>
      </c>
    </row>
    <row r="34" spans="2:14" ht="19.95" customHeight="1">
      <c r="B34" s="33">
        <v>46148.25</v>
      </c>
      <c r="C34" s="34" t="s">
        <v>58</v>
      </c>
      <c r="D34" s="35" t="s">
        <v>74</v>
      </c>
      <c r="E34" s="35" t="s">
        <v>119</v>
      </c>
      <c r="F34" s="35"/>
      <c r="G34" s="35"/>
      <c r="H34" s="35" t="s">
        <v>31</v>
      </c>
      <c r="I34" s="34" t="s">
        <v>120</v>
      </c>
      <c r="J34" s="34" t="s">
        <v>63</v>
      </c>
      <c r="K34" s="34" t="s">
        <v>121</v>
      </c>
      <c r="L34" s="36"/>
      <c r="M34" s="36">
        <v>171</v>
      </c>
      <c r="N34" s="37">
        <f t="shared" si="0"/>
        <v>-20939.159999999996</v>
      </c>
    </row>
    <row r="35" spans="2:14" ht="19.95" customHeight="1">
      <c r="B35" s="26">
        <v>46140.25</v>
      </c>
      <c r="C35" s="27" t="s">
        <v>58</v>
      </c>
      <c r="D35" s="28" t="s">
        <v>122</v>
      </c>
      <c r="E35" s="28" t="s">
        <v>123</v>
      </c>
      <c r="F35" s="28"/>
      <c r="G35" s="28"/>
      <c r="H35" s="28" t="s">
        <v>31</v>
      </c>
      <c r="I35" s="27" t="s">
        <v>79</v>
      </c>
      <c r="J35" s="27" t="s">
        <v>63</v>
      </c>
      <c r="K35" s="27" t="s">
        <v>80</v>
      </c>
      <c r="L35" s="29"/>
      <c r="M35" s="29">
        <v>450</v>
      </c>
      <c r="N35" s="30">
        <f t="shared" si="0"/>
        <v>-21389.159999999996</v>
      </c>
    </row>
    <row r="36" spans="2:14" ht="19.95" customHeight="1">
      <c r="B36" s="33">
        <v>46139.25</v>
      </c>
      <c r="C36" s="34" t="s">
        <v>58</v>
      </c>
      <c r="D36" s="35" t="s">
        <v>74</v>
      </c>
      <c r="E36" s="35" t="s">
        <v>124</v>
      </c>
      <c r="F36" s="35"/>
      <c r="G36" s="35"/>
      <c r="H36" s="35" t="s">
        <v>31</v>
      </c>
      <c r="I36" s="34" t="s">
        <v>79</v>
      </c>
      <c r="J36" s="34" t="s">
        <v>63</v>
      </c>
      <c r="K36" s="34" t="s">
        <v>125</v>
      </c>
      <c r="L36" s="36"/>
      <c r="M36" s="36">
        <v>259</v>
      </c>
      <c r="N36" s="37">
        <f t="shared" si="0"/>
        <v>-21648.159999999996</v>
      </c>
    </row>
    <row r="37" spans="2:14" ht="19.95" customHeight="1">
      <c r="B37" s="26">
        <v>46137.25</v>
      </c>
      <c r="C37" s="27" t="s">
        <v>58</v>
      </c>
      <c r="D37" s="28" t="s">
        <v>74</v>
      </c>
      <c r="E37" s="28" t="s">
        <v>81</v>
      </c>
      <c r="F37" s="28"/>
      <c r="G37" s="28"/>
      <c r="H37" s="28" t="s">
        <v>31</v>
      </c>
      <c r="I37" s="27" t="s">
        <v>62</v>
      </c>
      <c r="J37" s="27" t="s">
        <v>63</v>
      </c>
      <c r="K37" s="27" t="s">
        <v>126</v>
      </c>
      <c r="L37" s="29"/>
      <c r="M37" s="29">
        <v>2302.6</v>
      </c>
      <c r="N37" s="30">
        <f t="shared" si="0"/>
        <v>-23950.759999999995</v>
      </c>
    </row>
    <row r="38" spans="2:14" ht="19.95" customHeight="1">
      <c r="B38" s="33">
        <v>46135.25</v>
      </c>
      <c r="C38" s="34" t="s">
        <v>58</v>
      </c>
      <c r="D38" s="35" t="s">
        <v>122</v>
      </c>
      <c r="E38" s="35" t="s">
        <v>123</v>
      </c>
      <c r="F38" s="35"/>
      <c r="G38" s="35"/>
      <c r="H38" s="35" t="s">
        <v>31</v>
      </c>
      <c r="I38" s="34" t="s">
        <v>79</v>
      </c>
      <c r="J38" s="34" t="s">
        <v>63</v>
      </c>
      <c r="K38" s="34" t="s">
        <v>80</v>
      </c>
      <c r="L38" s="36"/>
      <c r="M38" s="36">
        <v>450</v>
      </c>
      <c r="N38" s="37">
        <f t="shared" si="0"/>
        <v>-24400.759999999995</v>
      </c>
    </row>
    <row r="39" spans="2:14" ht="19.95" customHeight="1">
      <c r="B39" s="26">
        <v>46132.25</v>
      </c>
      <c r="C39" s="27" t="s">
        <v>58</v>
      </c>
      <c r="D39" s="28" t="s">
        <v>127</v>
      </c>
      <c r="E39" s="28" t="s">
        <v>99</v>
      </c>
      <c r="F39" s="28"/>
      <c r="G39" s="28"/>
      <c r="H39" s="28" t="s">
        <v>31</v>
      </c>
      <c r="I39" s="27" t="s">
        <v>72</v>
      </c>
      <c r="J39" s="27" t="s">
        <v>63</v>
      </c>
      <c r="K39" s="27" t="s">
        <v>128</v>
      </c>
      <c r="L39" s="29"/>
      <c r="M39" s="29">
        <v>233.32</v>
      </c>
      <c r="N39" s="30">
        <f t="shared" si="0"/>
        <v>-24634.079999999994</v>
      </c>
    </row>
    <row r="40" spans="2:14" ht="19.95" customHeight="1">
      <c r="B40" s="33">
        <v>46132.25</v>
      </c>
      <c r="C40" s="34" t="s">
        <v>58</v>
      </c>
      <c r="D40" s="35" t="s">
        <v>74</v>
      </c>
      <c r="E40" s="35" t="s">
        <v>129</v>
      </c>
      <c r="F40" s="35"/>
      <c r="G40" s="35"/>
      <c r="H40" s="35" t="s">
        <v>31</v>
      </c>
      <c r="I40" s="34" t="s">
        <v>72</v>
      </c>
      <c r="J40" s="34" t="s">
        <v>63</v>
      </c>
      <c r="K40" s="34" t="s">
        <v>130</v>
      </c>
      <c r="L40" s="36"/>
      <c r="M40" s="36">
        <v>98</v>
      </c>
      <c r="N40" s="37">
        <f t="shared" ref="N40:N68" si="1">N39+L40-M40</f>
        <v>-24732.079999999994</v>
      </c>
    </row>
    <row r="41" spans="2:14" ht="19.95" customHeight="1">
      <c r="B41" s="26">
        <v>46131.25</v>
      </c>
      <c r="C41" s="27" t="s">
        <v>58</v>
      </c>
      <c r="D41" s="28" t="s">
        <v>131</v>
      </c>
      <c r="E41" s="28" t="s">
        <v>93</v>
      </c>
      <c r="F41" s="28"/>
      <c r="G41" s="28"/>
      <c r="H41" s="28" t="s">
        <v>31</v>
      </c>
      <c r="I41" s="27" t="s">
        <v>120</v>
      </c>
      <c r="J41" s="27" t="s">
        <v>63</v>
      </c>
      <c r="K41" s="27" t="s">
        <v>80</v>
      </c>
      <c r="L41" s="29"/>
      <c r="M41" s="29">
        <v>1538.28</v>
      </c>
      <c r="N41" s="30">
        <f t="shared" si="1"/>
        <v>-26270.359999999993</v>
      </c>
    </row>
    <row r="42" spans="2:14" ht="19.95" customHeight="1">
      <c r="B42" s="33">
        <v>46130.25</v>
      </c>
      <c r="C42" s="34" t="s">
        <v>58</v>
      </c>
      <c r="D42" s="35" t="s">
        <v>132</v>
      </c>
      <c r="E42" s="35" t="s">
        <v>81</v>
      </c>
      <c r="F42" s="35"/>
      <c r="G42" s="35"/>
      <c r="H42" s="35" t="s">
        <v>31</v>
      </c>
      <c r="I42" s="34" t="s">
        <v>62</v>
      </c>
      <c r="J42" s="34" t="s">
        <v>63</v>
      </c>
      <c r="K42" s="34" t="s">
        <v>133</v>
      </c>
      <c r="L42" s="36"/>
      <c r="M42" s="36">
        <v>1177.4000000000001</v>
      </c>
      <c r="N42" s="37">
        <f t="shared" si="1"/>
        <v>-27447.759999999995</v>
      </c>
    </row>
    <row r="43" spans="2:14" ht="19.95" customHeight="1">
      <c r="B43" s="26">
        <v>46129.25</v>
      </c>
      <c r="C43" s="27" t="s">
        <v>58</v>
      </c>
      <c r="D43" s="28" t="s">
        <v>74</v>
      </c>
      <c r="E43" s="28" t="s">
        <v>124</v>
      </c>
      <c r="F43" s="28"/>
      <c r="G43" s="28"/>
      <c r="H43" s="28" t="s">
        <v>31</v>
      </c>
      <c r="I43" s="27" t="s">
        <v>79</v>
      </c>
      <c r="J43" s="27" t="s">
        <v>63</v>
      </c>
      <c r="K43" s="27" t="s">
        <v>134</v>
      </c>
      <c r="L43" s="29"/>
      <c r="M43" s="29">
        <v>279</v>
      </c>
      <c r="N43" s="30">
        <f t="shared" si="1"/>
        <v>-27726.759999999995</v>
      </c>
    </row>
    <row r="44" spans="2:14" ht="19.95" customHeight="1">
      <c r="B44" s="33">
        <v>46127.25</v>
      </c>
      <c r="C44" s="34" t="s">
        <v>58</v>
      </c>
      <c r="D44" s="35" t="s">
        <v>135</v>
      </c>
      <c r="E44" s="35" t="s">
        <v>129</v>
      </c>
      <c r="F44" s="35"/>
      <c r="G44" s="35"/>
      <c r="H44" s="35" t="s">
        <v>31</v>
      </c>
      <c r="I44" s="34" t="s">
        <v>72</v>
      </c>
      <c r="J44" s="34" t="s">
        <v>63</v>
      </c>
      <c r="K44" s="34" t="s">
        <v>136</v>
      </c>
      <c r="L44" s="36"/>
      <c r="M44" s="36">
        <v>160</v>
      </c>
      <c r="N44" s="37">
        <f t="shared" si="1"/>
        <v>-27886.759999999995</v>
      </c>
    </row>
    <row r="45" spans="2:14" ht="19.95" customHeight="1">
      <c r="B45" s="26">
        <v>46126.25</v>
      </c>
      <c r="C45" s="27" t="s">
        <v>58</v>
      </c>
      <c r="D45" s="28" t="s">
        <v>137</v>
      </c>
      <c r="E45" s="28" t="s">
        <v>138</v>
      </c>
      <c r="F45" s="28"/>
      <c r="G45" s="28"/>
      <c r="H45" s="28" t="s">
        <v>31</v>
      </c>
      <c r="I45" s="27" t="s">
        <v>79</v>
      </c>
      <c r="J45" s="27" t="s">
        <v>63</v>
      </c>
      <c r="K45" s="27" t="s">
        <v>80</v>
      </c>
      <c r="L45" s="29"/>
      <c r="M45" s="29">
        <v>425</v>
      </c>
      <c r="N45" s="30">
        <f t="shared" si="1"/>
        <v>-28311.759999999995</v>
      </c>
    </row>
    <row r="46" spans="2:14" ht="19.95" customHeight="1">
      <c r="B46" s="33">
        <v>46126.25</v>
      </c>
      <c r="C46" s="34" t="s">
        <v>58</v>
      </c>
      <c r="D46" s="35" t="s">
        <v>139</v>
      </c>
      <c r="E46" s="35" t="s">
        <v>123</v>
      </c>
      <c r="F46" s="35"/>
      <c r="G46" s="35"/>
      <c r="H46" s="35" t="s">
        <v>31</v>
      </c>
      <c r="I46" s="34" t="s">
        <v>79</v>
      </c>
      <c r="J46" s="34" t="s">
        <v>63</v>
      </c>
      <c r="K46" s="34" t="s">
        <v>80</v>
      </c>
      <c r="L46" s="36"/>
      <c r="M46" s="36">
        <v>450</v>
      </c>
      <c r="N46" s="37">
        <f t="shared" si="1"/>
        <v>-28761.759999999995</v>
      </c>
    </row>
    <row r="47" spans="2:14" ht="19.95" customHeight="1">
      <c r="B47" s="26">
        <v>46125.25</v>
      </c>
      <c r="C47" s="27" t="s">
        <v>58</v>
      </c>
      <c r="D47" s="28" t="s">
        <v>74</v>
      </c>
      <c r="E47" s="28" t="s">
        <v>140</v>
      </c>
      <c r="F47" s="28"/>
      <c r="G47" s="28"/>
      <c r="H47" s="28" t="s">
        <v>31</v>
      </c>
      <c r="I47" s="27" t="s">
        <v>79</v>
      </c>
      <c r="J47" s="27" t="s">
        <v>63</v>
      </c>
      <c r="K47" s="27" t="s">
        <v>141</v>
      </c>
      <c r="L47" s="29"/>
      <c r="M47" s="29">
        <v>497</v>
      </c>
      <c r="N47" s="30">
        <f t="shared" si="1"/>
        <v>-29258.759999999995</v>
      </c>
    </row>
    <row r="48" spans="2:14" ht="19.95" customHeight="1">
      <c r="B48" s="33">
        <v>46125.25</v>
      </c>
      <c r="C48" s="34" t="s">
        <v>58</v>
      </c>
      <c r="D48" s="35" t="s">
        <v>74</v>
      </c>
      <c r="E48" s="35" t="s">
        <v>142</v>
      </c>
      <c r="F48" s="35"/>
      <c r="G48" s="35"/>
      <c r="H48" s="35" t="s">
        <v>31</v>
      </c>
      <c r="I48" s="34" t="s">
        <v>79</v>
      </c>
      <c r="J48" s="34" t="s">
        <v>63</v>
      </c>
      <c r="K48" s="34" t="s">
        <v>143</v>
      </c>
      <c r="L48" s="36"/>
      <c r="M48" s="36">
        <v>231</v>
      </c>
      <c r="N48" s="37">
        <f t="shared" si="1"/>
        <v>-29489.759999999995</v>
      </c>
    </row>
    <row r="49" spans="2:14" ht="19.95" customHeight="1">
      <c r="B49" s="26">
        <v>46125.25</v>
      </c>
      <c r="C49" s="27" t="s">
        <v>58</v>
      </c>
      <c r="D49" s="28" t="s">
        <v>144</v>
      </c>
      <c r="E49" s="28" t="s">
        <v>111</v>
      </c>
      <c r="F49" s="28"/>
      <c r="G49" s="28"/>
      <c r="H49" s="28" t="s">
        <v>31</v>
      </c>
      <c r="I49" s="27" t="s">
        <v>79</v>
      </c>
      <c r="J49" s="27" t="s">
        <v>63</v>
      </c>
      <c r="K49" s="27" t="s">
        <v>145</v>
      </c>
      <c r="L49" s="29"/>
      <c r="M49" s="29">
        <v>50</v>
      </c>
      <c r="N49" s="30">
        <f t="shared" si="1"/>
        <v>-29539.759999999995</v>
      </c>
    </row>
    <row r="50" spans="2:14" ht="19.95" customHeight="1">
      <c r="B50" s="33">
        <v>46125.25</v>
      </c>
      <c r="C50" s="34" t="s">
        <v>58</v>
      </c>
      <c r="D50" s="35" t="s">
        <v>146</v>
      </c>
      <c r="E50" s="35" t="s">
        <v>147</v>
      </c>
      <c r="F50" s="35"/>
      <c r="G50" s="35"/>
      <c r="H50" s="35" t="s">
        <v>31</v>
      </c>
      <c r="I50" s="34" t="s">
        <v>62</v>
      </c>
      <c r="J50" s="34" t="s">
        <v>63</v>
      </c>
      <c r="K50" s="34" t="s">
        <v>148</v>
      </c>
      <c r="L50" s="36"/>
      <c r="M50" s="36">
        <v>2088</v>
      </c>
      <c r="N50" s="37">
        <f t="shared" si="1"/>
        <v>-31627.759999999995</v>
      </c>
    </row>
    <row r="51" spans="2:14" ht="19.95" customHeight="1">
      <c r="B51" s="26">
        <v>46125.25</v>
      </c>
      <c r="C51" s="27" t="s">
        <v>58</v>
      </c>
      <c r="D51" s="28" t="s">
        <v>149</v>
      </c>
      <c r="E51" s="28" t="s">
        <v>150</v>
      </c>
      <c r="F51" s="28"/>
      <c r="G51" s="28"/>
      <c r="H51" s="28" t="s">
        <v>31</v>
      </c>
      <c r="I51" s="27" t="s">
        <v>79</v>
      </c>
      <c r="J51" s="27" t="s">
        <v>63</v>
      </c>
      <c r="K51" s="27" t="s">
        <v>151</v>
      </c>
      <c r="L51" s="29"/>
      <c r="M51" s="29">
        <v>421</v>
      </c>
      <c r="N51" s="30">
        <f t="shared" si="1"/>
        <v>-32048.759999999995</v>
      </c>
    </row>
    <row r="52" spans="2:14" ht="19.95" customHeight="1">
      <c r="B52" s="33">
        <v>46123.25</v>
      </c>
      <c r="C52" s="34" t="s">
        <v>58</v>
      </c>
      <c r="D52" s="35" t="s">
        <v>74</v>
      </c>
      <c r="E52" s="35" t="s">
        <v>81</v>
      </c>
      <c r="F52" s="35"/>
      <c r="G52" s="35"/>
      <c r="H52" s="35" t="s">
        <v>31</v>
      </c>
      <c r="I52" s="34" t="s">
        <v>62</v>
      </c>
      <c r="J52" s="34" t="s">
        <v>63</v>
      </c>
      <c r="K52" s="34" t="s">
        <v>152</v>
      </c>
      <c r="L52" s="36"/>
      <c r="M52" s="36">
        <v>1861.8</v>
      </c>
      <c r="N52" s="37">
        <f t="shared" si="1"/>
        <v>-33910.559999999998</v>
      </c>
    </row>
    <row r="53" spans="2:14" ht="19.95" customHeight="1">
      <c r="B53" s="26">
        <v>46123.25</v>
      </c>
      <c r="C53" s="27" t="s">
        <v>58</v>
      </c>
      <c r="D53" s="28" t="s">
        <v>153</v>
      </c>
      <c r="E53" s="28" t="s">
        <v>109</v>
      </c>
      <c r="F53" s="28"/>
      <c r="G53" s="28"/>
      <c r="H53" s="28" t="s">
        <v>31</v>
      </c>
      <c r="I53" s="27" t="s">
        <v>79</v>
      </c>
      <c r="J53" s="27" t="s">
        <v>63</v>
      </c>
      <c r="K53" s="27" t="s">
        <v>154</v>
      </c>
      <c r="L53" s="29"/>
      <c r="M53" s="29">
        <v>200</v>
      </c>
      <c r="N53" s="30">
        <f t="shared" si="1"/>
        <v>-34110.559999999998</v>
      </c>
    </row>
    <row r="54" spans="2:14" ht="19.95" customHeight="1">
      <c r="B54" s="33">
        <v>46121.25</v>
      </c>
      <c r="C54" s="34" t="s">
        <v>85</v>
      </c>
      <c r="D54" s="35" t="s">
        <v>155</v>
      </c>
      <c r="E54" s="35" t="s">
        <v>156</v>
      </c>
      <c r="F54" s="35"/>
      <c r="G54" s="35"/>
      <c r="H54" s="35" t="s">
        <v>31</v>
      </c>
      <c r="I54" s="34" t="s">
        <v>62</v>
      </c>
      <c r="J54" s="34" t="s">
        <v>63</v>
      </c>
      <c r="K54" s="34" t="s">
        <v>80</v>
      </c>
      <c r="L54" s="36">
        <v>4807.8900000000003</v>
      </c>
      <c r="M54" s="36"/>
      <c r="N54" s="37">
        <f t="shared" si="1"/>
        <v>-29302.67</v>
      </c>
    </row>
    <row r="55" spans="2:14" ht="19.95" customHeight="1">
      <c r="B55" s="26">
        <v>46119.25</v>
      </c>
      <c r="C55" s="27" t="s">
        <v>58</v>
      </c>
      <c r="D55" s="28" t="s">
        <v>157</v>
      </c>
      <c r="E55" s="28" t="s">
        <v>158</v>
      </c>
      <c r="F55" s="28"/>
      <c r="G55" s="28"/>
      <c r="H55" s="28" t="s">
        <v>31</v>
      </c>
      <c r="I55" s="27" t="s">
        <v>79</v>
      </c>
      <c r="J55" s="27" t="s">
        <v>63</v>
      </c>
      <c r="K55" s="27" t="s">
        <v>159</v>
      </c>
      <c r="L55" s="29"/>
      <c r="M55" s="29">
        <v>308.5</v>
      </c>
      <c r="N55" s="30">
        <f t="shared" si="1"/>
        <v>-29611.17</v>
      </c>
    </row>
    <row r="56" spans="2:14" ht="19.95" customHeight="1">
      <c r="B56" s="33">
        <v>46119.25</v>
      </c>
      <c r="C56" s="34" t="s">
        <v>58</v>
      </c>
      <c r="D56" s="35" t="s">
        <v>122</v>
      </c>
      <c r="E56" s="35" t="s">
        <v>89</v>
      </c>
      <c r="F56" s="35"/>
      <c r="G56" s="35"/>
      <c r="H56" s="35" t="s">
        <v>31</v>
      </c>
      <c r="I56" s="34" t="s">
        <v>79</v>
      </c>
      <c r="J56" s="34" t="s">
        <v>63</v>
      </c>
      <c r="K56" s="34" t="s">
        <v>145</v>
      </c>
      <c r="L56" s="36"/>
      <c r="M56" s="36">
        <v>450</v>
      </c>
      <c r="N56" s="37">
        <f t="shared" si="1"/>
        <v>-30061.17</v>
      </c>
    </row>
    <row r="57" spans="2:14" ht="19.95" customHeight="1">
      <c r="B57" s="26">
        <v>46119.25</v>
      </c>
      <c r="C57" s="27" t="s">
        <v>58</v>
      </c>
      <c r="D57" s="28" t="s">
        <v>160</v>
      </c>
      <c r="E57" s="28" t="s">
        <v>109</v>
      </c>
      <c r="F57" s="28"/>
      <c r="G57" s="28"/>
      <c r="H57" s="28" t="s">
        <v>31</v>
      </c>
      <c r="I57" s="27" t="s">
        <v>79</v>
      </c>
      <c r="J57" s="27" t="s">
        <v>63</v>
      </c>
      <c r="K57" s="27" t="s">
        <v>161</v>
      </c>
      <c r="L57" s="29"/>
      <c r="M57" s="29">
        <v>207</v>
      </c>
      <c r="N57" s="30">
        <f t="shared" si="1"/>
        <v>-30268.17</v>
      </c>
    </row>
    <row r="58" spans="2:14" ht="19.95" customHeight="1">
      <c r="B58" s="33">
        <v>46118.25</v>
      </c>
      <c r="C58" s="34" t="s">
        <v>58</v>
      </c>
      <c r="D58" s="35" t="s">
        <v>162</v>
      </c>
      <c r="E58" s="35" t="s">
        <v>163</v>
      </c>
      <c r="F58" s="35"/>
      <c r="G58" s="35"/>
      <c r="H58" s="35" t="s">
        <v>31</v>
      </c>
      <c r="I58" s="34" t="s">
        <v>62</v>
      </c>
      <c r="J58" s="34" t="s">
        <v>63</v>
      </c>
      <c r="K58" s="34" t="s">
        <v>164</v>
      </c>
      <c r="L58" s="36"/>
      <c r="M58" s="36">
        <v>937.11</v>
      </c>
      <c r="N58" s="37">
        <f t="shared" si="1"/>
        <v>-31205.279999999999</v>
      </c>
    </row>
    <row r="59" spans="2:14" ht="19.95" customHeight="1">
      <c r="B59" s="26">
        <v>46115.25</v>
      </c>
      <c r="C59" s="27" t="s">
        <v>58</v>
      </c>
      <c r="D59" s="28" t="s">
        <v>165</v>
      </c>
      <c r="E59" s="28" t="s">
        <v>166</v>
      </c>
      <c r="F59" s="28"/>
      <c r="G59" s="28"/>
      <c r="H59" s="28" t="s">
        <v>31</v>
      </c>
      <c r="I59" s="27" t="s">
        <v>79</v>
      </c>
      <c r="J59" s="27" t="s">
        <v>63</v>
      </c>
      <c r="K59" s="27" t="s">
        <v>145</v>
      </c>
      <c r="L59" s="29"/>
      <c r="M59" s="29">
        <v>4212</v>
      </c>
      <c r="N59" s="30">
        <f t="shared" si="1"/>
        <v>-35417.279999999999</v>
      </c>
    </row>
    <row r="60" spans="2:14" ht="19.95" customHeight="1">
      <c r="B60" s="42">
        <v>46114.25</v>
      </c>
      <c r="C60" s="43" t="s">
        <v>58</v>
      </c>
      <c r="D60" s="44" t="s">
        <v>167</v>
      </c>
      <c r="E60" s="44" t="s">
        <v>81</v>
      </c>
      <c r="F60" s="44"/>
      <c r="G60" s="44"/>
      <c r="H60" s="44" t="s">
        <v>31</v>
      </c>
      <c r="I60" s="43" t="s">
        <v>62</v>
      </c>
      <c r="J60" s="43" t="s">
        <v>63</v>
      </c>
      <c r="K60" s="43" t="s">
        <v>168</v>
      </c>
      <c r="L60" s="45"/>
      <c r="M60" s="45">
        <v>1658.8</v>
      </c>
      <c r="N60" s="46">
        <f t="shared" si="1"/>
        <v>-37076.080000000002</v>
      </c>
    </row>
    <row r="61" spans="2:14" ht="24" customHeight="1">
      <c r="B61" s="33">
        <v>46113.25</v>
      </c>
      <c r="C61" s="34" t="s">
        <v>58</v>
      </c>
      <c r="D61" s="35" t="s">
        <v>169</v>
      </c>
      <c r="E61" s="35" t="s">
        <v>99</v>
      </c>
      <c r="F61" s="35"/>
      <c r="G61" s="35"/>
      <c r="H61" s="35" t="s">
        <v>31</v>
      </c>
      <c r="I61" s="34" t="s">
        <v>72</v>
      </c>
      <c r="J61" s="34" t="s">
        <v>63</v>
      </c>
      <c r="K61" s="34" t="s">
        <v>170</v>
      </c>
      <c r="L61" s="36"/>
      <c r="M61" s="36">
        <v>171.56</v>
      </c>
      <c r="N61" s="46">
        <f t="shared" si="1"/>
        <v>-37247.64</v>
      </c>
    </row>
    <row r="62" spans="2:14">
      <c r="B62" s="33">
        <v>46113.25</v>
      </c>
      <c r="C62" s="34" t="s">
        <v>58</v>
      </c>
      <c r="D62" s="35" t="s">
        <v>74</v>
      </c>
      <c r="E62" s="35" t="s">
        <v>171</v>
      </c>
      <c r="F62" s="35"/>
      <c r="G62" s="35"/>
      <c r="H62" s="35" t="s">
        <v>31</v>
      </c>
      <c r="I62" s="34" t="s">
        <v>72</v>
      </c>
      <c r="J62" s="34" t="s">
        <v>63</v>
      </c>
      <c r="K62" s="34" t="s">
        <v>172</v>
      </c>
      <c r="L62" s="36"/>
      <c r="M62" s="36">
        <v>299</v>
      </c>
      <c r="N62" s="46">
        <f t="shared" si="1"/>
        <v>-37546.639999999999</v>
      </c>
    </row>
    <row r="63" spans="2:14">
      <c r="B63" s="33">
        <v>46111.25</v>
      </c>
      <c r="C63" s="34" t="s">
        <v>58</v>
      </c>
      <c r="D63" s="35" t="s">
        <v>173</v>
      </c>
      <c r="E63" s="35" t="s">
        <v>174</v>
      </c>
      <c r="F63" s="35"/>
      <c r="G63" s="35"/>
      <c r="H63" s="35" t="s">
        <v>31</v>
      </c>
      <c r="I63" s="34" t="s">
        <v>79</v>
      </c>
      <c r="J63" s="34" t="s">
        <v>63</v>
      </c>
      <c r="K63" s="34" t="s">
        <v>175</v>
      </c>
      <c r="L63" s="36"/>
      <c r="M63" s="36">
        <v>875</v>
      </c>
      <c r="N63" s="46">
        <f t="shared" si="1"/>
        <v>-38421.64</v>
      </c>
    </row>
    <row r="64" spans="2:14">
      <c r="B64" s="33">
        <v>46111.25</v>
      </c>
      <c r="C64" s="34" t="s">
        <v>58</v>
      </c>
      <c r="D64" s="35" t="s">
        <v>169</v>
      </c>
      <c r="E64" s="35" t="s">
        <v>99</v>
      </c>
      <c r="F64" s="35"/>
      <c r="G64" s="35"/>
      <c r="H64" s="35" t="s">
        <v>31</v>
      </c>
      <c r="I64" s="34" t="s">
        <v>79</v>
      </c>
      <c r="J64" s="34" t="s">
        <v>63</v>
      </c>
      <c r="K64" s="34" t="s">
        <v>176</v>
      </c>
      <c r="L64" s="36"/>
      <c r="M64" s="36">
        <v>153</v>
      </c>
      <c r="N64" s="46">
        <f t="shared" si="1"/>
        <v>-38574.639999999999</v>
      </c>
    </row>
    <row r="65" spans="2:14">
      <c r="B65" s="33">
        <v>46109.25</v>
      </c>
      <c r="C65" s="34" t="s">
        <v>58</v>
      </c>
      <c r="D65" s="35" t="s">
        <v>74</v>
      </c>
      <c r="E65" s="35" t="s">
        <v>81</v>
      </c>
      <c r="F65" s="35"/>
      <c r="G65" s="35"/>
      <c r="H65" s="35" t="s">
        <v>31</v>
      </c>
      <c r="I65" s="34" t="s">
        <v>62</v>
      </c>
      <c r="J65" s="34" t="s">
        <v>63</v>
      </c>
      <c r="K65" s="34" t="s">
        <v>177</v>
      </c>
      <c r="L65" s="36"/>
      <c r="M65" s="36">
        <v>1836.28</v>
      </c>
      <c r="N65" s="46">
        <f t="shared" si="1"/>
        <v>-40410.92</v>
      </c>
    </row>
    <row r="66" spans="2:14">
      <c r="B66" s="33">
        <v>46107.25</v>
      </c>
      <c r="C66" s="34" t="s">
        <v>58</v>
      </c>
      <c r="D66" s="35" t="s">
        <v>74</v>
      </c>
      <c r="E66" s="35" t="s">
        <v>81</v>
      </c>
      <c r="F66" s="35"/>
      <c r="G66" s="35"/>
      <c r="H66" s="35" t="s">
        <v>31</v>
      </c>
      <c r="I66" s="34" t="s">
        <v>62</v>
      </c>
      <c r="J66" s="34" t="s">
        <v>63</v>
      </c>
      <c r="K66" s="34" t="s">
        <v>178</v>
      </c>
      <c r="L66" s="36"/>
      <c r="M66" s="36">
        <v>1670.4</v>
      </c>
      <c r="N66" s="46">
        <f t="shared" si="1"/>
        <v>-42081.32</v>
      </c>
    </row>
    <row r="67" spans="2:14">
      <c r="B67" s="33">
        <v>46098.25</v>
      </c>
      <c r="C67" s="34" t="s">
        <v>58</v>
      </c>
      <c r="D67" s="35" t="s">
        <v>95</v>
      </c>
      <c r="E67" s="35" t="s">
        <v>142</v>
      </c>
      <c r="F67" s="35"/>
      <c r="G67" s="35"/>
      <c r="H67" s="35" t="s">
        <v>31</v>
      </c>
      <c r="I67" s="34" t="s">
        <v>79</v>
      </c>
      <c r="J67" s="34" t="s">
        <v>63</v>
      </c>
      <c r="K67" s="34" t="s">
        <v>179</v>
      </c>
      <c r="L67" s="36"/>
      <c r="M67" s="36">
        <v>124</v>
      </c>
      <c r="N67" s="46">
        <f t="shared" si="1"/>
        <v>-42205.32</v>
      </c>
    </row>
    <row r="68" spans="2:14">
      <c r="B68" s="33">
        <v>46098.25</v>
      </c>
      <c r="C68" s="34" t="s">
        <v>58</v>
      </c>
      <c r="D68" s="35" t="s">
        <v>88</v>
      </c>
      <c r="E68" s="35" t="s">
        <v>89</v>
      </c>
      <c r="F68" s="35"/>
      <c r="G68" s="35"/>
      <c r="H68" s="35" t="s">
        <v>31</v>
      </c>
      <c r="I68" s="34" t="s">
        <v>79</v>
      </c>
      <c r="J68" s="34" t="s">
        <v>63</v>
      </c>
      <c r="K68" s="34" t="s">
        <v>180</v>
      </c>
      <c r="L68" s="36"/>
      <c r="M68" s="36">
        <v>450</v>
      </c>
      <c r="N68" s="46">
        <f t="shared" si="1"/>
        <v>-42655.32</v>
      </c>
    </row>
    <row r="69" spans="2:14" ht="13.8" hidden="1" customHeight="1">
      <c r="B69" s="47"/>
      <c r="C69" s="48"/>
      <c r="D69" s="49" t="s">
        <v>181</v>
      </c>
      <c r="E69" s="49"/>
      <c r="F69" s="49"/>
      <c r="G69" s="49"/>
      <c r="H69" s="48"/>
      <c r="I69" s="48"/>
      <c r="J69" s="48"/>
      <c r="K69" s="48"/>
      <c r="L69" s="50">
        <f>SUM(L7:L68)</f>
        <v>7807.89</v>
      </c>
      <c r="M69" s="50">
        <f>SUM(M7:M68)</f>
        <v>70463.209999999992</v>
      </c>
      <c r="N69" s="48"/>
    </row>
    <row r="70" spans="2:14" ht="13.8" customHeight="1">
      <c r="L70" s="59">
        <f>SUBTOTAL(9,L7:L69)</f>
        <v>7807.89</v>
      </c>
      <c r="M70" s="59">
        <f>SUBTOTAL(9,M7:M69)</f>
        <v>43641.359999999993</v>
      </c>
      <c r="N70" s="59">
        <f>SUBTOTAL(9,N7:N69)</f>
        <v>-1202816.0300000005</v>
      </c>
    </row>
    <row r="72" spans="2:14">
      <c r="C72" s="7" t="s">
        <v>182</v>
      </c>
      <c r="I72" s="7" t="s">
        <v>182</v>
      </c>
      <c r="L72" s="7" t="s">
        <v>182</v>
      </c>
    </row>
    <row r="73" spans="2:14">
      <c r="C73" s="51" t="s">
        <v>183</v>
      </c>
      <c r="I73" s="51" t="s">
        <v>184</v>
      </c>
      <c r="L73" s="51" t="s">
        <v>185</v>
      </c>
    </row>
  </sheetData>
  <autoFilter ref="B6:N69" xr:uid="{00000000-0001-0000-0100-000000000000}">
    <filterColumn colId="6">
      <filters>
        <filter val="Querétaro"/>
      </filters>
    </filterColumn>
  </autoFilter>
  <mergeCells count="3">
    <mergeCell ref="B1:N1"/>
    <mergeCell ref="K2:L5"/>
    <mergeCell ref="P2:Q2"/>
  </mergeCells>
  <pageMargins left="0.75" right="0.75" top="1" bottom="1" header="0.5" footer="0.5"/>
  <pageSetup orientation="portrait" useFirstPageNumber="1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Reporte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2026-06-15T19:22:17Z</dcterms:created>
  <dcterms:modified xsi:type="dcterms:W3CDTF">2026-06-27T16:48:06Z</dcterms:modified>
</cp:coreProperties>
</file>